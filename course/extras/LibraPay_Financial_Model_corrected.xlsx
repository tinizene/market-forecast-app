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ssumptions" sheetId="2" state="visible" r:id="rId4"/>
    <sheet name="P&amp;L" sheetId="3" state="visible" r:id="rId5"/>
    <sheet name="Cash Flow" sheetId="4" state="visible" r:id="rId6"/>
    <sheet name="Funding Reque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<sst xmlns="http://schemas.openxmlformats.org/spreadsheetml/2006/main" count="361" uniqueCount="296">
  <si>
    <t xml:space="preserve">LIBRAPAY — Financial Model Dashboard</t>
  </si>
  <si>
    <t xml:space="preserve">Summary view — all figures pull automatically from P&amp;L, Cash Flow, and Assumptions sheets.</t>
  </si>
  <si>
    <t xml:space="preserve">Metric</t>
  </si>
  <si>
    <t xml:space="preserve">Year 1</t>
  </si>
  <si>
    <t xml:space="preserve">Year 2</t>
  </si>
  <si>
    <t xml:space="preserve">Year 3</t>
  </si>
  <si>
    <t xml:space="preserve">REVENUE</t>
  </si>
  <si>
    <t xml:space="preserve">Total Revenue</t>
  </si>
  <si>
    <t xml:space="preserve">Total Operating Costs</t>
  </si>
  <si>
    <t xml:space="preserve">EBITDA</t>
  </si>
  <si>
    <t xml:space="preserve">EBITDA Margin</t>
  </si>
  <si>
    <t xml:space="preserve">Closing Cash Balance</t>
  </si>
  <si>
    <t xml:space="preserve">VOLUME</t>
  </si>
  <si>
    <t xml:space="preserve">Monthly Remittance Transactions</t>
  </si>
  <si>
    <t xml:space="preserve">Active Cash Agents</t>
  </si>
  <si>
    <t xml:space="preserve">Monthly Merchant Transactions</t>
  </si>
  <si>
    <t xml:space="preserve">FUNDING</t>
  </si>
  <si>
    <t xml:space="preserve">Seed Funding Required</t>
  </si>
  <si>
    <t xml:space="preserve">—</t>
  </si>
  <si>
    <t xml:space="preserve">Grant (MASSIF/ADFI)</t>
  </si>
  <si>
    <t xml:space="preserve">Equity / Convertible Note</t>
  </si>
  <si>
    <t xml:space="preserve">Funding Gap</t>
  </si>
  <si>
    <t xml:space="preserve">Update assumptions in the 'Assumptions' sheet — all figures here recalculate automatically.</t>
  </si>
  <si>
    <t xml:space="preserve">LIBRAPAY — Financial Model Assumptions</t>
  </si>
  <si>
    <t xml:space="preserve">All values in EUR unless stated. Blue = input (change freely). Yellow = key cell requiring your input.</t>
  </si>
  <si>
    <t xml:space="preserve">Assumption</t>
  </si>
  <si>
    <t xml:space="preserve">Value</t>
  </si>
  <si>
    <t xml:space="preserve">Unit</t>
  </si>
  <si>
    <t xml:space="preserve">Notes / Source</t>
  </si>
  <si>
    <t xml:space="preserve">VOLUME ASSUMPTIONS — REMITTANCE</t>
  </si>
  <si>
    <t xml:space="preserve">Monthly transactions — Year 1</t>
  </si>
  <si>
    <t xml:space="preserve">count</t>
  </si>
  <si>
    <t xml:space="preserve">Conservative: ~20/day. Diaspora NL launch.</t>
  </si>
  <si>
    <t xml:space="preserve">Monthly transactions — Year 2</t>
  </si>
  <si>
    <t xml:space="preserve">Expansion: NL + USA corridor, agent network growth.</t>
  </si>
  <si>
    <t xml:space="preserve">Monthly transactions — Year 3</t>
  </si>
  <si>
    <t xml:space="preserve">Scale: 300/day across full network.</t>
  </si>
  <si>
    <t xml:space="preserve">Average transaction value (EUR)</t>
  </si>
  <si>
    <t xml:space="preserve">EUR</t>
  </si>
  <si>
    <t xml:space="preserve">Based on World Bank data: avg $200 corridor, converted at 1.10 EUR/USD</t>
  </si>
  <si>
    <t xml:space="preserve">EUR/USD exchange rate</t>
  </si>
  <si>
    <t xml:space="preserve">rate</t>
  </si>
  <si>
    <t xml:space="preserve">Assumed flat. Update as needed.</t>
  </si>
  <si>
    <t xml:space="preserve">VOLUME ASSUMPTIONS — MERCHANT PAYMENTS</t>
  </si>
  <si>
    <t xml:space="preserve">Monthly merchant transactions Y1</t>
  </si>
  <si>
    <t xml:space="preserve">Small: pilot 10-20 merchants in Monrovia</t>
  </si>
  <si>
    <t xml:space="preserve">Monthly merchant transactions Y2</t>
  </si>
  <si>
    <t xml:space="preserve">Growth: 100+ merchants</t>
  </si>
  <si>
    <t xml:space="preserve">Monthly merchant transactions Y3</t>
  </si>
  <si>
    <t xml:space="preserve">Scale: broad Monrovia adoption</t>
  </si>
  <si>
    <t xml:space="preserve">Avg merchant transaction value</t>
  </si>
  <si>
    <t xml:space="preserve">Small retail: food, goods, services</t>
  </si>
  <si>
    <t xml:space="preserve">VOLUME ASSUMPTIONS — CASH AGENT NETWORK</t>
  </si>
  <si>
    <t xml:space="preserve">Number of agents — Year 1</t>
  </si>
  <si>
    <t xml:space="preserve">agents</t>
  </si>
  <si>
    <t xml:space="preserve">Target 10-20 agents in Monrovia pilot</t>
  </si>
  <si>
    <t xml:space="preserve">Number of agents — Year 2</t>
  </si>
  <si>
    <t xml:space="preserve">City-wide Monrovia coverage</t>
  </si>
  <si>
    <t xml:space="preserve">Number of agents — Year 3</t>
  </si>
  <si>
    <t xml:space="preserve">National + Sierra Leone expansion</t>
  </si>
  <si>
    <t xml:space="preserve">Cash-out transactions per agent/day</t>
  </si>
  <si>
    <t xml:space="preserve">txns</t>
  </si>
  <si>
    <t xml:space="preserve">Conservative; M-Pesa agents do 20-30/day</t>
  </si>
  <si>
    <t xml:space="preserve">Avg cash-out amount (EUR)</t>
  </si>
  <si>
    <t xml:space="preserve">Mix of small and large withdrawals</t>
  </si>
  <si>
    <t xml:space="preserve">FEE &amp; REVENUE ASSUMPTIONS</t>
  </si>
  <si>
    <t xml:space="preserve">Remittance fee (sender)</t>
  </si>
  <si>
    <t xml:space="preserve">2.0% vs industry avg 5.36%. Source: World Bank RPW 2026</t>
  </si>
  <si>
    <t xml:space="preserve">EUR→USD exchange spread</t>
  </si>
  <si>
    <t xml:space="preserve">0.8% on fiat conversion</t>
  </si>
  <si>
    <t xml:space="preserve">Cash-out fee</t>
  </si>
  <si>
    <t xml:space="preserve">1.0% on physical USD withdrawal</t>
  </si>
  <si>
    <t xml:space="preserve">Merchant acceptance fee</t>
  </si>
  <si>
    <t xml:space="preserve">0.5% per QR payment transaction</t>
  </si>
  <si>
    <t xml:space="preserve">Float yield (APY on USDT float)</t>
  </si>
  <si>
    <t xml:space="preserve">4.5% APY via Aave/Compound. Source: DeFi Llama avg 2025-26</t>
  </si>
  <si>
    <t xml:space="preserve">Clean-notes premium (% of cashout)</t>
  </si>
  <si>
    <t xml:space="preserve">0.8% premium for new-issue USD notes</t>
  </si>
  <si>
    <t xml:space="preserve">COST ASSUMPTIONS</t>
  </si>
  <si>
    <t xml:space="preserve">Technology / hosting (monthly)</t>
  </si>
  <si>
    <t xml:space="preserve">AWS/cloud, API costs (Fireblocks, KYC, USSD)</t>
  </si>
  <si>
    <t xml:space="preserve">Technology — Year 1 build cost</t>
  </si>
  <si>
    <t xml:space="preserve">App dev, wallet integration, USSD. Update with dev quote.</t>
  </si>
  <si>
    <t xml:space="preserve">Legal &amp; regulatory (Year 1)</t>
  </si>
  <si>
    <t xml:space="preserve">Liberian counsel + DNB Netherlands MiCA registration</t>
  </si>
  <si>
    <t xml:space="preserve">Legal &amp; regulatory (Year 2+)</t>
  </si>
  <si>
    <t xml:space="preserve">EUR/yr</t>
  </si>
  <si>
    <t xml:space="preserve">Ongoing compliance, VASP licence application</t>
  </si>
  <si>
    <t xml:space="preserve">Salaries — Year 1 (founder only)</t>
  </si>
  <si>
    <t xml:space="preserve">Assumes founder draws modest salary. Adjust to reality.</t>
  </si>
  <si>
    <t xml:space="preserve">Salaries — Year 2</t>
  </si>
  <si>
    <t xml:space="preserve">Founder + ops manager Liberia + part-time compliance</t>
  </si>
  <si>
    <t xml:space="preserve">Salaries — Year 3</t>
  </si>
  <si>
    <t xml:space="preserve">Full team: 4-5 staff</t>
  </si>
  <si>
    <t xml:space="preserve">Agent float — initial capital</t>
  </si>
  <si>
    <t xml:space="preserve">Working capital to supply agents with USD cash. KEY INPUT.</t>
  </si>
  <si>
    <t xml:space="preserve">Agent float — Year 2 addition</t>
  </si>
  <si>
    <t xml:space="preserve">Expand float as agent network grows</t>
  </si>
  <si>
    <t xml:space="preserve">Marketing &amp; diaspora acquisition</t>
  </si>
  <si>
    <t xml:space="preserve">Community events, social media, referral incentives Y1</t>
  </si>
  <si>
    <t xml:space="preserve">Office &amp; operations</t>
  </si>
  <si>
    <t xml:space="preserve">Monrovia operations base, travel, comms</t>
  </si>
  <si>
    <t xml:space="preserve">Banking &amp; payment infrastructure</t>
  </si>
  <si>
    <t xml:space="preserve">Correspondent bank fees, USD shipment insurance</t>
  </si>
  <si>
    <t xml:space="preserve">Contingency (% of total opex)</t>
  </si>
  <si>
    <t xml:space="preserve">10% contingency on all operating costs</t>
  </si>
  <si>
    <t xml:space="preserve">FUNDING ASSUMPTIONS</t>
  </si>
  <si>
    <t xml:space="preserve">Seed grant sought (MASSIF/ADFI)</t>
  </si>
  <si>
    <t xml:space="preserve">Equity-free grant for infrastructure build</t>
  </si>
  <si>
    <t xml:space="preserve">Seed equity / convertible note</t>
  </si>
  <si>
    <t xml:space="preserve">Angel / FMO Ventures early ticket</t>
  </si>
  <si>
    <t xml:space="preserve">Working capital (agent float)</t>
  </si>
  <si>
    <t xml:space="preserve">Separate from opex — cash held at agents</t>
  </si>
  <si>
    <t xml:space="preserve">Grant disbursement — month</t>
  </si>
  <si>
    <t xml:space="preserve">month</t>
  </si>
  <si>
    <t xml:space="preserve">Assumed received Month 1 of Year 1</t>
  </si>
  <si>
    <t xml:space="preserve">Equity disbursement — month</t>
  </si>
  <si>
    <t xml:space="preserve">3 months after grant (typical)</t>
  </si>
  <si>
    <t xml:space="preserve">Source: All revenue assumptions derived from World Bank Remittance Prices Worldwide data, DeFi Llama yield data, and comparable African fintech models (Yellow Card, Kuda, LemFi). See business plan for full citations.</t>
  </si>
  <si>
    <t xml:space="preserve">LIBRAPAY — Profit &amp; Loss Statement (3-Year Projection)</t>
  </si>
  <si>
    <t xml:space="preserve">All amounts in EUR  |  Blue = inputs on Assumptions sheet  |  Green = cross-sheet link  |  Black = formula</t>
  </si>
  <si>
    <t xml:space="preserve">Line Item</t>
  </si>
  <si>
    <t xml:space="preserve">Year 1 (2027)</t>
  </si>
  <si>
    <t xml:space="preserve">Year 2 (2028)</t>
  </si>
  <si>
    <t xml:space="preserve">Year 3 (2029)</t>
  </si>
  <si>
    <t xml:space="preserve">Notes</t>
  </si>
  <si>
    <t xml:space="preserve">1. Remittance Fees</t>
  </si>
  <si>
    <t xml:space="preserve">    Monthly transactions</t>
  </si>
  <si>
    <t xml:space="preserve">Assumptions!B5:B7</t>
  </si>
  <si>
    <t xml:space="preserve">    Average transaction value (EUR)</t>
  </si>
  <si>
    <t xml:space="preserve">Assumptions!B8</t>
  </si>
  <si>
    <t xml:space="preserve">    Remittance fee rate</t>
  </si>
  <si>
    <t xml:space="preserve">Assumptions!B22</t>
  </si>
  <si>
    <t xml:space="preserve">    Remittance fee revenue (annual)</t>
  </si>
  <si>
    <t xml:space="preserve">Monthly txns × avg value × fee × 12</t>
  </si>
  <si>
    <t xml:space="preserve">    EUR→USD exchange spread revenue</t>
  </si>
  <si>
    <t xml:space="preserve">Spread on converted volume. Assumptions!B23</t>
  </si>
  <si>
    <t xml:space="preserve">2. Cash Agent Network Fees</t>
  </si>
  <si>
    <t xml:space="preserve">    Number of agents</t>
  </si>
  <si>
    <t xml:space="preserve">Assumptions!B16:B18</t>
  </si>
  <si>
    <t xml:space="preserve">    Agent cash-out transactions (annual)</t>
  </si>
  <si>
    <t xml:space="preserve">Agents × txns/agent/day × 365</t>
  </si>
  <si>
    <t xml:space="preserve">    Cash-out fee revenue</t>
  </si>
  <si>
    <t xml:space="preserve">Txns × avg cashout value × cash-out fee</t>
  </si>
  <si>
    <t xml:space="preserve">    Clean-notes premium revenue</t>
  </si>
  <si>
    <t xml:space="preserve">Clean-notes premium on cash-out volume</t>
  </si>
  <si>
    <t xml:space="preserve">3. Merchant Payment Fees</t>
  </si>
  <si>
    <t xml:space="preserve">    Monthly merchant transactions</t>
  </si>
  <si>
    <t xml:space="preserve">Assumptions!B11:B13</t>
  </si>
  <si>
    <t xml:space="preserve">    Merchant fee revenue (annual)</t>
  </si>
  <si>
    <t xml:space="preserve">Txns × avg value × fee × 12</t>
  </si>
  <si>
    <t xml:space="preserve">4. Float Yield (Passive)</t>
  </si>
  <si>
    <t xml:space="preserve">    Estimated float held (EUR)</t>
  </si>
  <si>
    <t xml:space="preserve">Working capital float at agents. Estimate — update once real float schedule known.</t>
  </si>
  <si>
    <t xml:space="preserve">    Float yield revenue</t>
  </si>
  <si>
    <t xml:space="preserve">Float × APY. Assumptions!B26</t>
  </si>
  <si>
    <t xml:space="preserve">TOTAL REVENUE</t>
  </si>
  <si>
    <t xml:space="preserve">Sum of all revenue lines</t>
  </si>
  <si>
    <t xml:space="preserve">OPERATING COSTS</t>
  </si>
  <si>
    <t xml:space="preserve">    Technology — Initial Build</t>
  </si>
  <si>
    <t xml:space="preserve">One-time app+wallet+USSD build, Year 1 only. Assumptions!B30</t>
  </si>
  <si>
    <t xml:space="preserve">    Technology — Hosting &amp; APIs</t>
  </si>
  <si>
    <t xml:space="preserve">Monthly hosting × 12. Assumptions!B29</t>
  </si>
  <si>
    <t xml:space="preserve">    Legal &amp; Regulatory</t>
  </si>
  <si>
    <t xml:space="preserve">Y1: Assumptions!B31. Y2+: Assumptions!B32 (ongoing)</t>
  </si>
  <si>
    <t xml:space="preserve">    Salaries &amp; Contractor Costs</t>
  </si>
  <si>
    <t xml:space="preserve">Assumptions!B33:B35</t>
  </si>
  <si>
    <t xml:space="preserve">    Marketing &amp; Diaspora Acquisition</t>
  </si>
  <si>
    <t xml:space="preserve">Flat annual per Assumptions!B38 — update if a growth-with-scale figure is preferred</t>
  </si>
  <si>
    <t xml:space="preserve">    Office &amp; Operations (Monrovia)</t>
  </si>
  <si>
    <t xml:space="preserve">Flat annual per Assumptions!B39</t>
  </si>
  <si>
    <t xml:space="preserve">    Banking, USD Shipment &amp; Insurance</t>
  </si>
  <si>
    <t xml:space="preserve">Flat annual per Assumptions!B40</t>
  </si>
  <si>
    <t xml:space="preserve">Subtotal Operating Costs (before contingency)</t>
  </si>
  <si>
    <t xml:space="preserve">Pre-contingency subtotal</t>
  </si>
  <si>
    <t xml:space="preserve">    Contingency (10%)</t>
  </si>
  <si>
    <t xml:space="preserve">10% of operating costs. Assumptions!B41</t>
  </si>
  <si>
    <t xml:space="preserve">TOTAL OPERATING COSTS</t>
  </si>
  <si>
    <t xml:space="preserve">Total costs including contingency</t>
  </si>
  <si>
    <t xml:space="preserve">EBITDA (Operating Profit / Loss)</t>
  </si>
  <si>
    <t xml:space="preserve">Revenue minus all operating costs</t>
  </si>
  <si>
    <t xml:space="preserve">EBITDA as % of revenue</t>
  </si>
  <si>
    <t xml:space="preserve">Cumulative Surplus / (Deficit)</t>
  </si>
  <si>
    <t xml:space="preserve">Running total from Year 1</t>
  </si>
  <si>
    <t xml:space="preserve">NOTE: This model uses conservative volume assumptions. Update blue cells in Assumptions sheet to model different scenarios. Depreciation, tax, and interest not included at this stage — to be added with legal/accounting advisor input.</t>
  </si>
  <si>
    <t xml:space="preserve">LIBRAPAY — Cash Flow Statement (3-Year Projection)</t>
  </si>
  <si>
    <t xml:space="preserve">Cash position includes funding inflows. Working capital float is treated as capital deployment, not operating cost.</t>
  </si>
  <si>
    <t xml:space="preserve">OPERATING CASH FLOWS</t>
  </si>
  <si>
    <t xml:space="preserve">Total Revenue (from P&amp;L)</t>
  </si>
  <si>
    <t xml:space="preserve">Links to P&amp;L Total Revenue row</t>
  </si>
  <si>
    <t xml:space="preserve">Total Operating Costs (from P&amp;L)</t>
  </si>
  <si>
    <t xml:space="preserve">Links to P&amp;L Total Costs (shown negative)</t>
  </si>
  <si>
    <t xml:space="preserve">NET OPERATING CASH FLOW</t>
  </si>
  <si>
    <t xml:space="preserve">Operating inflow minus outflow</t>
  </si>
  <si>
    <t xml:space="preserve">INVESTING / CAPITAL ACTIVITIES</t>
  </si>
  <si>
    <t xml:space="preserve">    Agent float deployment (cash held at agents)</t>
  </si>
  <si>
    <t xml:space="preserve">Capital deployed as working float — held as USD asset. Assumptions!B36 (Y1), B37 (Y2 addition)</t>
  </si>
  <si>
    <t xml:space="preserve">    Technology build (one-time capex)</t>
  </si>
  <si>
    <t xml:space="preserve">Already recognised in P&amp;L 'Technology — Initial Build' (Year 1); shown here at €0 to avoid double-counting</t>
  </si>
  <si>
    <t xml:space="preserve">NET INVESTING CASH FLOW</t>
  </si>
  <si>
    <t xml:space="preserve">Capital deployed</t>
  </si>
  <si>
    <t xml:space="preserve">FINANCING ACTIVITIES (FUNDING INFLOWS)</t>
  </si>
  <si>
    <t xml:space="preserve">    Grant received (MASSIF / ADFI)</t>
  </si>
  <si>
    <t xml:space="preserve">Equity-free grant, received Month 1 of Year 1. Assumptions!B43</t>
  </si>
  <si>
    <t xml:space="preserve">    Equity / Convertible note</t>
  </si>
  <si>
    <t xml:space="preserve">Angel / FMO Ventures seed, disbursed Month 3 of Year 1. Assumptions!B44</t>
  </si>
  <si>
    <t xml:space="preserve">    Series A (placeholder)</t>
  </si>
  <si>
    <t xml:space="preserve">[TO BE CONFIRMED — placeholder for Year 2/3 raise if needed]</t>
  </si>
  <si>
    <t xml:space="preserve">NET FINANCING CASH FLOW</t>
  </si>
  <si>
    <t xml:space="preserve">Total funding received</t>
  </si>
  <si>
    <t xml:space="preserve">NET CASH MOVEMENT (Year)</t>
  </si>
  <si>
    <t xml:space="preserve">Total cash in minus total cash out for the year</t>
  </si>
  <si>
    <t xml:space="preserve">Opening cash balance</t>
  </si>
  <si>
    <t xml:space="preserve">Opening = prior year closing</t>
  </si>
  <si>
    <t xml:space="preserve">CLOSING CASH BALANCE</t>
  </si>
  <si>
    <t xml:space="preserve">Cash position at year end</t>
  </si>
  <si>
    <t xml:space="preserve">IMPORTANT: A negative closing balance indicates a funding gap. If Year 1 shows negative, increase the grant/equity amount in the Assumptions sheet until the balance is positive. The agent float is a capital asset (held as USD), not a loss.</t>
  </si>
  <si>
    <t xml:space="preserve">LIBRAPAY — Itemised Funding Request</t>
  </si>
  <si>
    <t xml:space="preserve">Seed funding requirement for Year 1 launch. Yellow cells = require your confirmation. All amounts EUR.</t>
  </si>
  <si>
    <t xml:space="preserve">Cost Item</t>
  </si>
  <si>
    <t xml:space="preserve">Amount (EUR)</t>
  </si>
  <si>
    <t xml:space="preserve">Category</t>
  </si>
  <si>
    <t xml:space="preserve">A. TECHNOLOGY &amp; INFRASTRUCTURE</t>
  </si>
  <si>
    <t xml:space="preserve">    Mobile app development (iOS + Android)</t>
  </si>
  <si>
    <t xml:space="preserve">Capex</t>
  </si>
  <si>
    <t xml:space="preserve">React Native. Get 3 developer quotes. [YELLOW = ESTIMATE]</t>
  </si>
  <si>
    <t xml:space="preserve">    Wallet infrastructure (Fireblocks/BitGo API setup)</t>
  </si>
  <si>
    <t xml:space="preserve">Institutional custody API integration</t>
  </si>
  <si>
    <t xml:space="preserve">    USSD gateway integration (Africa's Talking)</t>
  </si>
  <si>
    <t xml:space="preserve">Feature phone access for non-smartphone users</t>
  </si>
  <si>
    <t xml:space="preserve">    KYC/AML system (Sumsub or Smile Identity)</t>
  </si>
  <si>
    <t xml:space="preserve">Identity verification — mandatory for AML compliance</t>
  </si>
  <si>
    <t xml:space="preserve">    Cloud hosting setup (AWS/Azure Year 1)</t>
  </si>
  <si>
    <t xml:space="preserve">Opex</t>
  </si>
  <si>
    <t xml:space="preserve">First year hosting, domain, security certificates</t>
  </si>
  <si>
    <t xml:space="preserve">B. LEGAL &amp; REGULATORY</t>
  </si>
  <si>
    <t xml:space="preserve">    Liberian legal advisor (CBL engagement + MSB licence)</t>
  </si>
  <si>
    <t xml:space="preserve">LOCAL LIBERIAN COUNSEL — critical path item. [ESTIMATE]</t>
  </si>
  <si>
    <t xml:space="preserve">    Netherlands DNB registration (MiCA CASP)</t>
  </si>
  <si>
    <t xml:space="preserve">EU crypto service provider registration</t>
  </si>
  <si>
    <t xml:space="preserve">    Company formation (Liberia + NL holding structure)</t>
  </si>
  <si>
    <t xml:space="preserve">Corporate structure setup — confirm with tax advisor</t>
  </si>
  <si>
    <t xml:space="preserve">    AML compliance programme documentation</t>
  </si>
  <si>
    <t xml:space="preserve">Policies, procedures, transaction monitoring setup</t>
  </si>
  <si>
    <t xml:space="preserve">C. WORKING CAPITAL — AGENT FLOAT</t>
  </si>
  <si>
    <t xml:space="preserve">    Initial USD cash float for agent network</t>
  </si>
  <si>
    <t xml:space="preserve">Working Capital</t>
  </si>
  <si>
    <t xml:space="preserve">Physical USD held at agents for cash-out. KEY ITEM. Assumptions!B36</t>
  </si>
  <si>
    <t xml:space="preserve">    Float management buffer (10%)</t>
  </si>
  <si>
    <t xml:space="preserve">Reserve for float shortfall at busy agents</t>
  </si>
  <si>
    <t xml:space="preserve">D. OPERATIONS &amp; TEAM</t>
  </si>
  <si>
    <t xml:space="preserve">    Founder salary (12 months)</t>
  </si>
  <si>
    <t xml:space="preserve">Assumptions!B33. Adjust to your actual requirement.</t>
  </si>
  <si>
    <t xml:space="preserve">    Liberia operations manager (6 months, part-time)</t>
  </si>
  <si>
    <t xml:space="preserve">On-the-ground agent recruitment and management</t>
  </si>
  <si>
    <t xml:space="preserve">    Travel (NL ↔ Monrovia, Year 1)</t>
  </si>
  <si>
    <t xml:space="preserve">2-3 trips for agent setup, CBL meetings, market validation</t>
  </si>
  <si>
    <t xml:space="preserve">    Monrovia operations base (12 months)</t>
  </si>
  <si>
    <t xml:space="preserve">Office/co-working space, communications</t>
  </si>
  <si>
    <t xml:space="preserve">E. MARKETING &amp; COMMUNITY</t>
  </si>
  <si>
    <t xml:space="preserve">    Diaspora community launch events (Netherlands)</t>
  </si>
  <si>
    <t xml:space="preserve">Liberian community events in Amsterdam/Rotterdam/Den Haag</t>
  </si>
  <si>
    <t xml:space="preserve">    Digital marketing (Facebook/WhatsApp diaspora targeting)</t>
  </si>
  <si>
    <t xml:space="preserve">Paid social, WhatsApp community sponsorship</t>
  </si>
  <si>
    <t xml:space="preserve">    Referral incentive programme</t>
  </si>
  <si>
    <t xml:space="preserve">First 500 users get reduced fee — acquisition cost</t>
  </si>
  <si>
    <t xml:space="preserve">F. WHOLESALE BANKNOTE SUPPLY CHAIN</t>
  </si>
  <si>
    <t xml:space="preserve">    Initial wholesale banknote distributor relationship setup</t>
  </si>
  <si>
    <t xml:space="preserve">Travelex/Moneycorp account opening, compliance, first shipment fees</t>
  </si>
  <si>
    <t xml:space="preserve">    First USD note shipment (insurance + armoured freight)</t>
  </si>
  <si>
    <t xml:space="preserve">Brinks/Loomis West Africa delivery to Monrovia. [ESTIMATE]</t>
  </si>
  <si>
    <t xml:space="preserve">Subtotal (pre-contingency)</t>
  </si>
  <si>
    <t xml:space="preserve">Sum of sections A-F</t>
  </si>
  <si>
    <t xml:space="preserve">G. CONTINGENCY</t>
  </si>
  <si>
    <t xml:space="preserve">    Contingency (10% of above)</t>
  </si>
  <si>
    <t xml:space="preserve">Reserve</t>
  </si>
  <si>
    <t xml:space="preserve">10% buffer on total pre-contingency costs. Assumptions!B41</t>
  </si>
  <si>
    <t xml:space="preserve">TOTAL SEED FUNDING REQUIRED</t>
  </si>
  <si>
    <t xml:space="preserve">PROPOSED FUNDING STRUCTURE</t>
  </si>
  <si>
    <t xml:space="preserve">Source</t>
  </si>
  <si>
    <t xml:space="preserve">Type</t>
  </si>
  <si>
    <t xml:space="preserve">FMO MASSIF Fund / ADFI Grant</t>
  </si>
  <si>
    <t xml:space="preserve">Grant (equity-free)</t>
  </si>
  <si>
    <t xml:space="preserve">Primary target. fmo.nl MASSIF. Apply first. Assumptions!B43</t>
  </si>
  <si>
    <t xml:space="preserve">Angel / FMO Ventures convertible note</t>
  </si>
  <si>
    <t xml:space="preserve">Convertible note/equity</t>
  </si>
  <si>
    <t xml:space="preserve">Secondary. FMO Ventures Program Series A/B. Assumptions!B44</t>
  </si>
  <si>
    <t xml:space="preserve">RVO Netherlands Enterprise Agency</t>
  </si>
  <si>
    <t xml:space="preserve">Grant</t>
  </si>
  <si>
    <t xml:space="preserve">rvo.nl Africa Ecosystem Catalysts Facility</t>
  </si>
  <si>
    <t xml:space="preserve">Founder contribution (if any)</t>
  </si>
  <si>
    <t xml:space="preserve">Equity</t>
  </si>
  <si>
    <t xml:space="preserve">[Add any personal investment here]</t>
  </si>
  <si>
    <t xml:space="preserve">Total Funding Identified</t>
  </si>
  <si>
    <t xml:space="preserve">FUNDING GAP (Requirement minus Identified)</t>
  </si>
  <si>
    <t xml:space="preserve">KEY NEXT STEPS: (1) Get developer quotes to confirm technology costs. (2) Engage Liberian legal counsel to confirm MSB licence cost. (3) Confirm founder salary requirement. (4) Contact FMO MASSIF fund for eligibility pre-assessment at fmo.nl. (5) Contact RVO for Africa Ecosystem Catalysts Facility application.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</si>
</sst>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€#,##0;&quot;(€&quot;#,##0\);\-"/>
    <numFmt numFmtId="166" formatCode="0.0%"/>
    <numFmt numFmtId="167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color rgb="FF777777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777777"/>
      <name val="Arial"/>
      <family val="0"/>
      <charset val="1"/>
    </font>
    <font>
      <b val="true"/>
      <i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5" hidden="false" customHeight="false" outlineLevel="0" collapsed="false">
      <c r="A4" s="4" t="s">
        <v>6</v>
      </c>
      <c r="B4" s="5"/>
      <c r="C4" s="5"/>
      <c r="D4" s="5"/>
    </row>
    <row r="5" customFormat="false" ht="15" hidden="false" customHeight="false" outlineLevel="0" collapsed="false">
      <c r="A5" s="6" t="s">
        <v>7</v>
      </c>
      <c r="B5" s="7" t="n">
        <f aca="false">'P&amp;L'!B22</f>
        <v>130593</v>
      </c>
      <c r="C5" s="7" t="n">
        <f aca="false">'P&amp;L'!C22</f>
        <v>777945</v>
      </c>
      <c r="D5" s="7" t="n">
        <f aca="false">'P&amp;L'!D22</f>
        <v>2446665</v>
      </c>
    </row>
    <row r="6" customFormat="false" ht="15" hidden="false" customHeight="false" outlineLevel="0" collapsed="false">
      <c r="A6" s="6" t="s">
        <v>8</v>
      </c>
      <c r="B6" s="7" t="n">
        <f aca="false">'P&amp;L'!B34</f>
        <v>114400</v>
      </c>
      <c r="C6" s="7" t="n">
        <f aca="false">'P&amp;L'!C34</f>
        <v>117700</v>
      </c>
      <c r="D6" s="7" t="n">
        <f aca="false">'P&amp;L'!D34</f>
        <v>196900</v>
      </c>
    </row>
    <row r="7" customFormat="false" ht="15" hidden="false" customHeight="false" outlineLevel="0" collapsed="false">
      <c r="A7" s="8" t="s">
        <v>9</v>
      </c>
      <c r="B7" s="9" t="n">
        <f aca="false">'P&amp;L'!B35</f>
        <v>16193</v>
      </c>
      <c r="C7" s="9" t="n">
        <f aca="false">'P&amp;L'!C35</f>
        <v>660245</v>
      </c>
      <c r="D7" s="9" t="n">
        <f aca="false">'P&amp;L'!D35</f>
        <v>2249765</v>
      </c>
    </row>
    <row r="8" customFormat="false" ht="15" hidden="false" customHeight="false" outlineLevel="0" collapsed="false">
      <c r="A8" s="6" t="s">
        <v>10</v>
      </c>
      <c r="B8" s="10" t="n">
        <f aca="false">'P&amp;L'!B36</f>
        <v>0.123995926274762</v>
      </c>
      <c r="C8" s="10" t="n">
        <f aca="false">'P&amp;L'!C36</f>
        <v>0.848703957220626</v>
      </c>
      <c r="D8" s="10" t="n">
        <f aca="false">'P&amp;L'!D36</f>
        <v>0.91952310594217</v>
      </c>
    </row>
    <row r="9" customFormat="false" ht="15" hidden="false" customHeight="false" outlineLevel="0" collapsed="false">
      <c r="A9" s="6" t="s">
        <v>11</v>
      </c>
      <c r="B9" s="7" t="n">
        <f aca="false">'Cash Flow'!B19</f>
        <v>91193</v>
      </c>
      <c r="C9" s="7" t="n">
        <f aca="false">'Cash Flow'!C19</f>
        <v>676438</v>
      </c>
      <c r="D9" s="7" t="n">
        <f aca="false">'Cash Flow'!D19</f>
        <v>2926203</v>
      </c>
    </row>
    <row r="10" customFormat="false" ht="15" hidden="false" customHeight="false" outlineLevel="0" collapsed="false">
      <c r="A10" s="4" t="s">
        <v>12</v>
      </c>
      <c r="B10" s="5"/>
      <c r="C10" s="5"/>
      <c r="D10" s="5"/>
    </row>
    <row r="11" customFormat="false" ht="15" hidden="false" customHeight="false" outlineLevel="0" collapsed="false">
      <c r="A11" s="6" t="s">
        <v>13</v>
      </c>
      <c r="B11" s="11" t="n">
        <f aca="false">Assumptions!B5</f>
        <v>600</v>
      </c>
      <c r="C11" s="11" t="n">
        <f aca="false">Assumptions!B6</f>
        <v>2400</v>
      </c>
      <c r="D11" s="11" t="n">
        <f aca="false">Assumptions!B7</f>
        <v>9000</v>
      </c>
    </row>
    <row r="12" customFormat="false" ht="15" hidden="false" customHeight="false" outlineLevel="0" collapsed="false">
      <c r="A12" s="6" t="s">
        <v>14</v>
      </c>
      <c r="B12" s="11" t="n">
        <f aca="false">Assumptions!B16</f>
        <v>15</v>
      </c>
      <c r="C12" s="11" t="n">
        <f aca="false">Assumptions!B17</f>
        <v>100</v>
      </c>
      <c r="D12" s="11" t="n">
        <f aca="false">Assumptions!B18</f>
        <v>300</v>
      </c>
    </row>
    <row r="13" customFormat="false" ht="15" hidden="false" customHeight="false" outlineLevel="0" collapsed="false">
      <c r="A13" s="6" t="s">
        <v>15</v>
      </c>
      <c r="B13" s="11" t="n">
        <f aca="false">Assumptions!B11</f>
        <v>200</v>
      </c>
      <c r="C13" s="11" t="n">
        <f aca="false">Assumptions!B12</f>
        <v>2000</v>
      </c>
      <c r="D13" s="11" t="n">
        <f aca="false">Assumptions!B13</f>
        <v>10000</v>
      </c>
    </row>
    <row r="14" customFormat="false" ht="15" hidden="false" customHeight="false" outlineLevel="0" collapsed="false">
      <c r="A14" s="4" t="s">
        <v>16</v>
      </c>
      <c r="B14" s="5"/>
      <c r="C14" s="5"/>
      <c r="D14" s="5"/>
    </row>
    <row r="15" customFormat="false" ht="15" hidden="false" customHeight="false" outlineLevel="0" collapsed="false">
      <c r="A15" s="6" t="s">
        <v>17</v>
      </c>
      <c r="B15" s="7" t="n">
        <f aca="false">'Funding Request'!B33</f>
        <v>167860</v>
      </c>
      <c r="C15" s="6" t="s">
        <v>18</v>
      </c>
      <c r="D15" s="6" t="s">
        <v>18</v>
      </c>
    </row>
    <row r="16" customFormat="false" ht="15" hidden="false" customHeight="false" outlineLevel="0" collapsed="false">
      <c r="A16" s="6" t="s">
        <v>19</v>
      </c>
      <c r="B16" s="7" t="n">
        <f aca="false">Assumptions!$B$43</f>
        <v>75000</v>
      </c>
      <c r="C16" s="6" t="s">
        <v>18</v>
      </c>
      <c r="D16" s="6" t="s">
        <v>18</v>
      </c>
    </row>
    <row r="17" customFormat="false" ht="15" hidden="false" customHeight="false" outlineLevel="0" collapsed="false">
      <c r="A17" s="6" t="s">
        <v>20</v>
      </c>
      <c r="B17" s="7" t="n">
        <f aca="false">Assumptions!$B$44</f>
        <v>50000</v>
      </c>
      <c r="C17" s="6" t="s">
        <v>18</v>
      </c>
      <c r="D17" s="6" t="s">
        <v>18</v>
      </c>
    </row>
    <row r="18" customFormat="false" ht="15" hidden="false" customHeight="false" outlineLevel="0" collapsed="false">
      <c r="A18" s="6" t="s">
        <v>21</v>
      </c>
      <c r="B18" s="7" t="n">
        <f aca="false">'Funding Request'!B42</f>
        <v>42860</v>
      </c>
      <c r="C18" s="6" t="s">
        <v>18</v>
      </c>
      <c r="D18" s="6" t="s">
        <v>18</v>
      </c>
    </row>
    <row r="20" customFormat="false" ht="15" hidden="false" customHeight="false" outlineLevel="0" collapsed="false">
      <c r="A20" s="1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3" customFormat="false" ht="15" hidden="false" customHeight="false" outlineLevel="0" collapsed="false">
      <c r="A3" s="3" t="s">
        <v>25</v>
      </c>
      <c r="B3" s="3" t="s">
        <v>26</v>
      </c>
      <c r="C3" s="3" t="s">
        <v>27</v>
      </c>
      <c r="D3" s="3" t="s">
        <v>28</v>
      </c>
    </row>
    <row r="4" customFormat="false" ht="15" hidden="false" customHeight="false" outlineLevel="0" collapsed="false">
      <c r="A4" s="4" t="s">
        <v>29</v>
      </c>
      <c r="B4" s="5"/>
      <c r="C4" s="5"/>
      <c r="D4" s="5"/>
    </row>
    <row r="5" customFormat="false" ht="15" hidden="false" customHeight="false" outlineLevel="0" collapsed="false">
      <c r="A5" s="6" t="s">
        <v>30</v>
      </c>
      <c r="B5" s="13" t="n">
        <v>600</v>
      </c>
      <c r="C5" s="6" t="s">
        <v>31</v>
      </c>
      <c r="D5" s="14" t="s">
        <v>32</v>
      </c>
    </row>
    <row r="6" customFormat="false" ht="15" hidden="false" customHeight="false" outlineLevel="0" collapsed="false">
      <c r="A6" s="6" t="s">
        <v>33</v>
      </c>
      <c r="B6" s="13" t="n">
        <v>2400</v>
      </c>
      <c r="C6" s="6" t="s">
        <v>31</v>
      </c>
      <c r="D6" s="14" t="s">
        <v>34</v>
      </c>
    </row>
    <row r="7" customFormat="false" ht="15" hidden="false" customHeight="false" outlineLevel="0" collapsed="false">
      <c r="A7" s="6" t="s">
        <v>35</v>
      </c>
      <c r="B7" s="13" t="n">
        <v>9000</v>
      </c>
      <c r="C7" s="6" t="s">
        <v>31</v>
      </c>
      <c r="D7" s="14" t="s">
        <v>36</v>
      </c>
    </row>
    <row r="8" customFormat="false" ht="15" hidden="false" customHeight="false" outlineLevel="0" collapsed="false">
      <c r="A8" s="6" t="s">
        <v>37</v>
      </c>
      <c r="B8" s="13" t="n">
        <v>175</v>
      </c>
      <c r="C8" s="6" t="s">
        <v>38</v>
      </c>
      <c r="D8" s="14" t="s">
        <v>39</v>
      </c>
    </row>
    <row r="9" customFormat="false" ht="15" hidden="false" customHeight="false" outlineLevel="0" collapsed="false">
      <c r="A9" s="6" t="s">
        <v>40</v>
      </c>
      <c r="B9" s="13" t="n">
        <v>1.1</v>
      </c>
      <c r="C9" s="6" t="s">
        <v>41</v>
      </c>
      <c r="D9" s="14" t="s">
        <v>42</v>
      </c>
    </row>
    <row r="10" customFormat="false" ht="15" hidden="false" customHeight="false" outlineLevel="0" collapsed="false">
      <c r="A10" s="4" t="s">
        <v>43</v>
      </c>
      <c r="B10" s="5"/>
      <c r="C10" s="5"/>
      <c r="D10" s="5"/>
    </row>
    <row r="11" customFormat="false" ht="15" hidden="false" customHeight="false" outlineLevel="0" collapsed="false">
      <c r="A11" s="6" t="s">
        <v>44</v>
      </c>
      <c r="B11" s="13" t="n">
        <v>200</v>
      </c>
      <c r="C11" s="6" t="s">
        <v>31</v>
      </c>
      <c r="D11" s="14" t="s">
        <v>45</v>
      </c>
    </row>
    <row r="12" customFormat="false" ht="15" hidden="false" customHeight="false" outlineLevel="0" collapsed="false">
      <c r="A12" s="6" t="s">
        <v>46</v>
      </c>
      <c r="B12" s="13" t="n">
        <v>2000</v>
      </c>
      <c r="C12" s="6" t="s">
        <v>31</v>
      </c>
      <c r="D12" s="14" t="s">
        <v>47</v>
      </c>
    </row>
    <row r="13" customFormat="false" ht="15" hidden="false" customHeight="false" outlineLevel="0" collapsed="false">
      <c r="A13" s="6" t="s">
        <v>48</v>
      </c>
      <c r="B13" s="13" t="n">
        <v>10000</v>
      </c>
      <c r="C13" s="6" t="s">
        <v>31</v>
      </c>
      <c r="D13" s="14" t="s">
        <v>49</v>
      </c>
    </row>
    <row r="14" customFormat="false" ht="15" hidden="false" customHeight="false" outlineLevel="0" collapsed="false">
      <c r="A14" s="6" t="s">
        <v>50</v>
      </c>
      <c r="B14" s="13" t="n">
        <v>40</v>
      </c>
      <c r="C14" s="6" t="s">
        <v>38</v>
      </c>
      <c r="D14" s="14" t="s">
        <v>51</v>
      </c>
    </row>
    <row r="15" customFormat="false" ht="15" hidden="false" customHeight="false" outlineLevel="0" collapsed="false">
      <c r="A15" s="4" t="s">
        <v>52</v>
      </c>
      <c r="B15" s="5"/>
      <c r="C15" s="5"/>
      <c r="D15" s="5"/>
    </row>
    <row r="16" customFormat="false" ht="15" hidden="false" customHeight="false" outlineLevel="0" collapsed="false">
      <c r="A16" s="6" t="s">
        <v>53</v>
      </c>
      <c r="B16" s="13" t="n">
        <v>15</v>
      </c>
      <c r="C16" s="6" t="s">
        <v>54</v>
      </c>
      <c r="D16" s="14" t="s">
        <v>55</v>
      </c>
    </row>
    <row r="17" customFormat="false" ht="15" hidden="false" customHeight="false" outlineLevel="0" collapsed="false">
      <c r="A17" s="6" t="s">
        <v>56</v>
      </c>
      <c r="B17" s="13" t="n">
        <v>100</v>
      </c>
      <c r="C17" s="6" t="s">
        <v>54</v>
      </c>
      <c r="D17" s="14" t="s">
        <v>57</v>
      </c>
    </row>
    <row r="18" customFormat="false" ht="15" hidden="false" customHeight="false" outlineLevel="0" collapsed="false">
      <c r="A18" s="6" t="s">
        <v>58</v>
      </c>
      <c r="B18" s="13" t="n">
        <v>300</v>
      </c>
      <c r="C18" s="6" t="s">
        <v>54</v>
      </c>
      <c r="D18" s="14" t="s">
        <v>59</v>
      </c>
    </row>
    <row r="19" customFormat="false" ht="15" hidden="false" customHeight="false" outlineLevel="0" collapsed="false">
      <c r="A19" s="6" t="s">
        <v>60</v>
      </c>
      <c r="B19" s="13" t="n">
        <v>8</v>
      </c>
      <c r="C19" s="6" t="s">
        <v>61</v>
      </c>
      <c r="D19" s="14" t="s">
        <v>62</v>
      </c>
    </row>
    <row r="20" customFormat="false" ht="15" hidden="false" customHeight="false" outlineLevel="0" collapsed="false">
      <c r="A20" s="6" t="s">
        <v>63</v>
      </c>
      <c r="B20" s="13" t="n">
        <v>120</v>
      </c>
      <c r="C20" s="6" t="s">
        <v>38</v>
      </c>
      <c r="D20" s="14" t="s">
        <v>64</v>
      </c>
    </row>
    <row r="21" customFormat="false" ht="15" hidden="false" customHeight="false" outlineLevel="0" collapsed="false">
      <c r="A21" s="4" t="s">
        <v>65</v>
      </c>
      <c r="B21" s="5"/>
      <c r="C21" s="5"/>
      <c r="D21" s="5"/>
    </row>
    <row r="22" customFormat="false" ht="15" hidden="false" customHeight="false" outlineLevel="0" collapsed="false">
      <c r="A22" s="6" t="s">
        <v>66</v>
      </c>
      <c r="B22" s="15" t="n">
        <v>0.02</v>
      </c>
      <c r="C22" s="6" t="s">
        <v>41</v>
      </c>
      <c r="D22" s="14" t="s">
        <v>67</v>
      </c>
    </row>
    <row r="23" customFormat="false" ht="15" hidden="false" customHeight="false" outlineLevel="0" collapsed="false">
      <c r="A23" s="6" t="s">
        <v>68</v>
      </c>
      <c r="B23" s="15" t="n">
        <v>0.008</v>
      </c>
      <c r="C23" s="6" t="s">
        <v>41</v>
      </c>
      <c r="D23" s="14" t="s">
        <v>69</v>
      </c>
    </row>
    <row r="24" customFormat="false" ht="15" hidden="false" customHeight="false" outlineLevel="0" collapsed="false">
      <c r="A24" s="6" t="s">
        <v>70</v>
      </c>
      <c r="B24" s="15" t="n">
        <v>0.01</v>
      </c>
      <c r="C24" s="6" t="s">
        <v>41</v>
      </c>
      <c r="D24" s="14" t="s">
        <v>71</v>
      </c>
    </row>
    <row r="25" customFormat="false" ht="15" hidden="false" customHeight="false" outlineLevel="0" collapsed="false">
      <c r="A25" s="6" t="s">
        <v>72</v>
      </c>
      <c r="B25" s="15" t="n">
        <v>0.005</v>
      </c>
      <c r="C25" s="6" t="s">
        <v>41</v>
      </c>
      <c r="D25" s="14" t="s">
        <v>73</v>
      </c>
    </row>
    <row r="26" customFormat="false" ht="15" hidden="false" customHeight="false" outlineLevel="0" collapsed="false">
      <c r="A26" s="6" t="s">
        <v>74</v>
      </c>
      <c r="B26" s="15" t="n">
        <v>0.045</v>
      </c>
      <c r="C26" s="6" t="s">
        <v>41</v>
      </c>
      <c r="D26" s="14" t="s">
        <v>75</v>
      </c>
    </row>
    <row r="27" customFormat="false" ht="15" hidden="false" customHeight="false" outlineLevel="0" collapsed="false">
      <c r="A27" s="6" t="s">
        <v>76</v>
      </c>
      <c r="B27" s="15" t="n">
        <v>0.008</v>
      </c>
      <c r="C27" s="6" t="s">
        <v>41</v>
      </c>
      <c r="D27" s="14" t="s">
        <v>77</v>
      </c>
    </row>
    <row r="28" customFormat="false" ht="15" hidden="false" customHeight="false" outlineLevel="0" collapsed="false">
      <c r="A28" s="4" t="s">
        <v>78</v>
      </c>
      <c r="B28" s="5"/>
      <c r="C28" s="5"/>
      <c r="D28" s="5"/>
    </row>
    <row r="29" customFormat="false" ht="15" hidden="false" customHeight="false" outlineLevel="0" collapsed="false">
      <c r="A29" s="6" t="s">
        <v>79</v>
      </c>
      <c r="B29" s="13" t="n">
        <v>1500</v>
      </c>
      <c r="C29" s="6" t="s">
        <v>38</v>
      </c>
      <c r="D29" s="14" t="s">
        <v>80</v>
      </c>
    </row>
    <row r="30" customFormat="false" ht="15" hidden="false" customHeight="false" outlineLevel="0" collapsed="false">
      <c r="A30" s="6" t="s">
        <v>81</v>
      </c>
      <c r="B30" s="13" t="n">
        <v>35000</v>
      </c>
      <c r="C30" s="6" t="s">
        <v>38</v>
      </c>
      <c r="D30" s="14" t="s">
        <v>82</v>
      </c>
    </row>
    <row r="31" customFormat="false" ht="15" hidden="false" customHeight="false" outlineLevel="0" collapsed="false">
      <c r="A31" s="6" t="s">
        <v>83</v>
      </c>
      <c r="B31" s="13" t="n">
        <v>15000</v>
      </c>
      <c r="C31" s="6" t="s">
        <v>38</v>
      </c>
      <c r="D31" s="14" t="s">
        <v>84</v>
      </c>
    </row>
    <row r="32" customFormat="false" ht="15" hidden="false" customHeight="false" outlineLevel="0" collapsed="false">
      <c r="A32" s="6" t="s">
        <v>85</v>
      </c>
      <c r="B32" s="13" t="n">
        <v>5000</v>
      </c>
      <c r="C32" s="6" t="s">
        <v>86</v>
      </c>
      <c r="D32" s="14" t="s">
        <v>87</v>
      </c>
    </row>
    <row r="33" customFormat="false" ht="15" hidden="false" customHeight="false" outlineLevel="0" collapsed="false">
      <c r="A33" s="6" t="s">
        <v>88</v>
      </c>
      <c r="B33" s="13" t="n">
        <v>24000</v>
      </c>
      <c r="C33" s="6" t="s">
        <v>38</v>
      </c>
      <c r="D33" s="14" t="s">
        <v>89</v>
      </c>
    </row>
    <row r="34" customFormat="false" ht="15" hidden="false" customHeight="false" outlineLevel="0" collapsed="false">
      <c r="A34" s="6" t="s">
        <v>90</v>
      </c>
      <c r="B34" s="13" t="n">
        <v>72000</v>
      </c>
      <c r="C34" s="6" t="s">
        <v>38</v>
      </c>
      <c r="D34" s="14" t="s">
        <v>91</v>
      </c>
    </row>
    <row r="35" customFormat="false" ht="15" hidden="false" customHeight="false" outlineLevel="0" collapsed="false">
      <c r="A35" s="6" t="s">
        <v>92</v>
      </c>
      <c r="B35" s="13" t="n">
        <v>144000</v>
      </c>
      <c r="C35" s="6" t="s">
        <v>38</v>
      </c>
      <c r="D35" s="14" t="s">
        <v>93</v>
      </c>
    </row>
    <row r="36" customFormat="false" ht="15" hidden="false" customHeight="false" outlineLevel="0" collapsed="false">
      <c r="A36" s="6" t="s">
        <v>94</v>
      </c>
      <c r="B36" s="16" t="n">
        <v>50000</v>
      </c>
      <c r="C36" s="6" t="s">
        <v>38</v>
      </c>
      <c r="D36" s="14" t="s">
        <v>95</v>
      </c>
    </row>
    <row r="37" customFormat="false" ht="15" hidden="false" customHeight="false" outlineLevel="0" collapsed="false">
      <c r="A37" s="6" t="s">
        <v>96</v>
      </c>
      <c r="B37" s="16" t="n">
        <v>75000</v>
      </c>
      <c r="C37" s="6" t="s">
        <v>38</v>
      </c>
      <c r="D37" s="14" t="s">
        <v>97</v>
      </c>
    </row>
    <row r="38" customFormat="false" ht="15" hidden="false" customHeight="false" outlineLevel="0" collapsed="false">
      <c r="A38" s="6" t="s">
        <v>98</v>
      </c>
      <c r="B38" s="13" t="n">
        <v>6000</v>
      </c>
      <c r="C38" s="6" t="s">
        <v>86</v>
      </c>
      <c r="D38" s="14" t="s">
        <v>99</v>
      </c>
    </row>
    <row r="39" customFormat="false" ht="15" hidden="false" customHeight="false" outlineLevel="0" collapsed="false">
      <c r="A39" s="6" t="s">
        <v>100</v>
      </c>
      <c r="B39" s="13" t="n">
        <v>3600</v>
      </c>
      <c r="C39" s="6" t="s">
        <v>86</v>
      </c>
      <c r="D39" s="14" t="s">
        <v>101</v>
      </c>
    </row>
    <row r="40" customFormat="false" ht="15" hidden="false" customHeight="false" outlineLevel="0" collapsed="false">
      <c r="A40" s="6" t="s">
        <v>102</v>
      </c>
      <c r="B40" s="13" t="n">
        <v>2400</v>
      </c>
      <c r="C40" s="6" t="s">
        <v>86</v>
      </c>
      <c r="D40" s="14" t="s">
        <v>103</v>
      </c>
    </row>
    <row r="41" customFormat="false" ht="15" hidden="false" customHeight="false" outlineLevel="0" collapsed="false">
      <c r="A41" s="6" t="s">
        <v>104</v>
      </c>
      <c r="B41" s="15" t="n">
        <v>0.1</v>
      </c>
      <c r="C41" s="6" t="s">
        <v>41</v>
      </c>
      <c r="D41" s="14" t="s">
        <v>105</v>
      </c>
    </row>
    <row r="42" customFormat="false" ht="15" hidden="false" customHeight="false" outlineLevel="0" collapsed="false">
      <c r="A42" s="4" t="s">
        <v>106</v>
      </c>
      <c r="B42" s="5"/>
      <c r="C42" s="5"/>
      <c r="D42" s="5"/>
    </row>
    <row r="43" customFormat="false" ht="15" hidden="false" customHeight="false" outlineLevel="0" collapsed="false">
      <c r="A43" s="6" t="s">
        <v>107</v>
      </c>
      <c r="B43" s="16" t="n">
        <v>75000</v>
      </c>
      <c r="C43" s="6" t="s">
        <v>38</v>
      </c>
      <c r="D43" s="14" t="s">
        <v>108</v>
      </c>
    </row>
    <row r="44" customFormat="false" ht="15" hidden="false" customHeight="false" outlineLevel="0" collapsed="false">
      <c r="A44" s="6" t="s">
        <v>109</v>
      </c>
      <c r="B44" s="16" t="n">
        <v>50000</v>
      </c>
      <c r="C44" s="6" t="s">
        <v>38</v>
      </c>
      <c r="D44" s="14" t="s">
        <v>110</v>
      </c>
    </row>
    <row r="45" customFormat="false" ht="15" hidden="false" customHeight="false" outlineLevel="0" collapsed="false">
      <c r="A45" s="6" t="s">
        <v>111</v>
      </c>
      <c r="B45" s="13" t="n">
        <v>50000</v>
      </c>
      <c r="C45" s="6" t="s">
        <v>38</v>
      </c>
      <c r="D45" s="14" t="s">
        <v>112</v>
      </c>
    </row>
    <row r="46" customFormat="false" ht="15" hidden="false" customHeight="false" outlineLevel="0" collapsed="false">
      <c r="A46" s="6" t="s">
        <v>113</v>
      </c>
      <c r="B46" s="13" t="n">
        <v>1</v>
      </c>
      <c r="C46" s="6" t="s">
        <v>114</v>
      </c>
      <c r="D46" s="14" t="s">
        <v>115</v>
      </c>
    </row>
    <row r="47" customFormat="false" ht="15" hidden="false" customHeight="false" outlineLevel="0" collapsed="false">
      <c r="A47" s="6" t="s">
        <v>116</v>
      </c>
      <c r="B47" s="13" t="n">
        <v>3</v>
      </c>
      <c r="C47" s="6" t="s">
        <v>114</v>
      </c>
      <c r="D47" s="14" t="s">
        <v>117</v>
      </c>
    </row>
    <row r="49" customFormat="false" ht="15" hidden="false" customHeight="false" outlineLevel="0" collapsed="false">
      <c r="A49" s="12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  <col collapsed="false" customWidth="true" hidden="false" outlineLevel="0" max="5" min="5" style="0" width="45"/>
  </cols>
  <sheetData>
    <row r="1" customFormat="false" ht="17.3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2" t="s">
        <v>120</v>
      </c>
    </row>
    <row r="3" customFormat="false" ht="15" hidden="false" customHeight="false" outlineLevel="0" collapsed="false">
      <c r="A3" s="3" t="s">
        <v>121</v>
      </c>
      <c r="B3" s="3" t="s">
        <v>122</v>
      </c>
      <c r="C3" s="3" t="s">
        <v>123</v>
      </c>
      <c r="D3" s="3" t="s">
        <v>124</v>
      </c>
      <c r="E3" s="3" t="s">
        <v>125</v>
      </c>
    </row>
    <row r="4" customFormat="false" ht="15" hidden="false" customHeight="false" outlineLevel="0" collapsed="false">
      <c r="A4" s="4" t="s">
        <v>6</v>
      </c>
      <c r="B4" s="5"/>
      <c r="C4" s="5"/>
      <c r="D4" s="5"/>
      <c r="E4" s="5"/>
    </row>
    <row r="5" customFormat="false" ht="15" hidden="false" customHeight="false" outlineLevel="0" collapsed="false">
      <c r="A5" s="17" t="s">
        <v>126</v>
      </c>
    </row>
    <row r="6" customFormat="false" ht="15" hidden="false" customHeight="false" outlineLevel="0" collapsed="false">
      <c r="A6" s="6" t="s">
        <v>127</v>
      </c>
      <c r="B6" s="11" t="n">
        <f aca="false">Assumptions!B5</f>
        <v>600</v>
      </c>
      <c r="C6" s="11" t="n">
        <f aca="false">Assumptions!B6</f>
        <v>2400</v>
      </c>
      <c r="D6" s="11" t="n">
        <f aca="false">Assumptions!B7</f>
        <v>9000</v>
      </c>
      <c r="E6" s="14" t="s">
        <v>128</v>
      </c>
    </row>
    <row r="7" customFormat="false" ht="15" hidden="false" customHeight="false" outlineLevel="0" collapsed="false">
      <c r="A7" s="6" t="s">
        <v>129</v>
      </c>
      <c r="B7" s="7" t="n">
        <f aca="false">Assumptions!$B$8</f>
        <v>175</v>
      </c>
      <c r="C7" s="7" t="n">
        <f aca="false">Assumptions!$B$8</f>
        <v>175</v>
      </c>
      <c r="D7" s="7" t="n">
        <f aca="false">Assumptions!$B$8</f>
        <v>175</v>
      </c>
      <c r="E7" s="14" t="s">
        <v>130</v>
      </c>
    </row>
    <row r="8" customFormat="false" ht="15" hidden="false" customHeight="false" outlineLevel="0" collapsed="false">
      <c r="A8" s="6" t="s">
        <v>131</v>
      </c>
      <c r="B8" s="10" t="n">
        <f aca="false">Assumptions!$B$22</f>
        <v>0.02</v>
      </c>
      <c r="C8" s="10" t="n">
        <f aca="false">Assumptions!$B$22</f>
        <v>0.02</v>
      </c>
      <c r="D8" s="10" t="n">
        <f aca="false">Assumptions!$B$22</f>
        <v>0.02</v>
      </c>
      <c r="E8" s="14" t="s">
        <v>132</v>
      </c>
    </row>
    <row r="9" customFormat="false" ht="15" hidden="false" customHeight="false" outlineLevel="0" collapsed="false">
      <c r="A9" s="6" t="s">
        <v>133</v>
      </c>
      <c r="B9" s="18" t="n">
        <f aca="false">B6*B7*B8*12</f>
        <v>25200</v>
      </c>
      <c r="C9" s="18" t="n">
        <f aca="false">C6*C7*C8*12</f>
        <v>100800</v>
      </c>
      <c r="D9" s="18" t="n">
        <f aca="false">D6*D7*D8*12</f>
        <v>378000</v>
      </c>
      <c r="E9" s="14" t="s">
        <v>134</v>
      </c>
    </row>
    <row r="10" customFormat="false" ht="15" hidden="false" customHeight="false" outlineLevel="0" collapsed="false">
      <c r="A10" s="6" t="s">
        <v>135</v>
      </c>
      <c r="B10" s="18" t="n">
        <f aca="false">B6*B7*12*Assumptions!$B$23</f>
        <v>10080</v>
      </c>
      <c r="C10" s="18" t="n">
        <f aca="false">C6*C7*12*Assumptions!$B$23</f>
        <v>40320</v>
      </c>
      <c r="D10" s="18" t="n">
        <f aca="false">D6*D7*12*Assumptions!$B$23</f>
        <v>151200</v>
      </c>
      <c r="E10" s="14" t="s">
        <v>136</v>
      </c>
    </row>
    <row r="11" customFormat="false" ht="15" hidden="false" customHeight="false" outlineLevel="0" collapsed="false">
      <c r="A11" s="17" t="s">
        <v>137</v>
      </c>
    </row>
    <row r="12" customFormat="false" ht="15" hidden="false" customHeight="false" outlineLevel="0" collapsed="false">
      <c r="A12" s="6" t="s">
        <v>138</v>
      </c>
      <c r="B12" s="11" t="n">
        <f aca="false">Assumptions!B16</f>
        <v>15</v>
      </c>
      <c r="C12" s="11" t="n">
        <f aca="false">Assumptions!B17</f>
        <v>100</v>
      </c>
      <c r="D12" s="11" t="n">
        <f aca="false">Assumptions!B18</f>
        <v>300</v>
      </c>
      <c r="E12" s="14" t="s">
        <v>139</v>
      </c>
    </row>
    <row r="13" customFormat="false" ht="15" hidden="false" customHeight="false" outlineLevel="0" collapsed="false">
      <c r="A13" s="6" t="s">
        <v>140</v>
      </c>
      <c r="B13" s="19" t="n">
        <f aca="false">B12*Assumptions!$B$19*365</f>
        <v>43800</v>
      </c>
      <c r="C13" s="19" t="n">
        <f aca="false">C12*Assumptions!$B$19*365</f>
        <v>292000</v>
      </c>
      <c r="D13" s="19" t="n">
        <f aca="false">D12*Assumptions!$B$19*365</f>
        <v>876000</v>
      </c>
      <c r="E13" s="14" t="s">
        <v>141</v>
      </c>
    </row>
    <row r="14" customFormat="false" ht="15" hidden="false" customHeight="false" outlineLevel="0" collapsed="false">
      <c r="A14" s="6" t="s">
        <v>142</v>
      </c>
      <c r="B14" s="18" t="n">
        <f aca="false">B13*Assumptions!$B$20*Assumptions!$B$24</f>
        <v>52560</v>
      </c>
      <c r="C14" s="18" t="n">
        <f aca="false">C13*Assumptions!$B$20*Assumptions!$B$24</f>
        <v>350400</v>
      </c>
      <c r="D14" s="18" t="n">
        <f aca="false">D13*Assumptions!$B$20*Assumptions!$B$24</f>
        <v>1051200</v>
      </c>
      <c r="E14" s="14" t="s">
        <v>143</v>
      </c>
    </row>
    <row r="15" customFormat="false" ht="15" hidden="false" customHeight="false" outlineLevel="0" collapsed="false">
      <c r="A15" s="6" t="s">
        <v>144</v>
      </c>
      <c r="B15" s="18" t="n">
        <f aca="false">B13*Assumptions!$B$20*Assumptions!$B$27</f>
        <v>42048</v>
      </c>
      <c r="C15" s="18" t="n">
        <f aca="false">C13*Assumptions!$B$20*Assumptions!$B$27</f>
        <v>280320</v>
      </c>
      <c r="D15" s="18" t="n">
        <f aca="false">D13*Assumptions!$B$20*Assumptions!$B$27</f>
        <v>840960</v>
      </c>
      <c r="E15" s="14" t="s">
        <v>145</v>
      </c>
    </row>
    <row r="16" customFormat="false" ht="15" hidden="false" customHeight="false" outlineLevel="0" collapsed="false">
      <c r="A16" s="17" t="s">
        <v>146</v>
      </c>
    </row>
    <row r="17" customFormat="false" ht="15" hidden="false" customHeight="false" outlineLevel="0" collapsed="false">
      <c r="A17" s="6" t="s">
        <v>147</v>
      </c>
      <c r="B17" s="11" t="n">
        <f aca="false">Assumptions!B11</f>
        <v>200</v>
      </c>
      <c r="C17" s="11" t="n">
        <f aca="false">Assumptions!B12</f>
        <v>2000</v>
      </c>
      <c r="D17" s="11" t="n">
        <f aca="false">Assumptions!B13</f>
        <v>10000</v>
      </c>
      <c r="E17" s="14" t="s">
        <v>148</v>
      </c>
    </row>
    <row r="18" customFormat="false" ht="15" hidden="false" customHeight="false" outlineLevel="0" collapsed="false">
      <c r="A18" s="6" t="s">
        <v>149</v>
      </c>
      <c r="B18" s="18" t="n">
        <f aca="false">B17*Assumptions!$B$14*Assumptions!$B$25*12</f>
        <v>480</v>
      </c>
      <c r="C18" s="18" t="n">
        <f aca="false">C17*Assumptions!$B$14*Assumptions!$B$25*12</f>
        <v>4800</v>
      </c>
      <c r="D18" s="18" t="n">
        <f aca="false">D17*Assumptions!$B$14*Assumptions!$B$25*12</f>
        <v>24000</v>
      </c>
      <c r="E18" s="14" t="s">
        <v>150</v>
      </c>
    </row>
    <row r="19" customFormat="false" ht="15" hidden="false" customHeight="false" outlineLevel="0" collapsed="false">
      <c r="A19" s="17" t="s">
        <v>151</v>
      </c>
    </row>
    <row r="20" customFormat="false" ht="15" hidden="false" customHeight="false" outlineLevel="0" collapsed="false">
      <c r="A20" s="6" t="s">
        <v>152</v>
      </c>
      <c r="B20" s="20" t="n">
        <v>5000</v>
      </c>
      <c r="C20" s="20" t="n">
        <v>29000</v>
      </c>
      <c r="D20" s="20" t="n">
        <v>29000</v>
      </c>
      <c r="E20" s="14" t="s">
        <v>153</v>
      </c>
    </row>
    <row r="21" customFormat="false" ht="15" hidden="false" customHeight="false" outlineLevel="0" collapsed="false">
      <c r="A21" s="6" t="s">
        <v>154</v>
      </c>
      <c r="B21" s="18" t="n">
        <f aca="false">B20*Assumptions!$B$26</f>
        <v>225</v>
      </c>
      <c r="C21" s="18" t="n">
        <f aca="false">C20*Assumptions!$B$26</f>
        <v>1305</v>
      </c>
      <c r="D21" s="18" t="n">
        <f aca="false">D20*Assumptions!$B$26</f>
        <v>1305</v>
      </c>
      <c r="E21" s="14" t="s">
        <v>155</v>
      </c>
    </row>
    <row r="22" customFormat="false" ht="15" hidden="false" customHeight="false" outlineLevel="0" collapsed="false">
      <c r="A22" s="8" t="s">
        <v>156</v>
      </c>
      <c r="B22" s="9" t="n">
        <f aca="false">B9+B10+B14+B15+B18+B21</f>
        <v>130593</v>
      </c>
      <c r="C22" s="9" t="n">
        <f aca="false">C9+C10+C14+C15+C18+C21</f>
        <v>777945</v>
      </c>
      <c r="D22" s="9" t="n">
        <f aca="false">D9+D10+D14+D15+D18+D21</f>
        <v>2446665</v>
      </c>
      <c r="E22" s="21" t="s">
        <v>157</v>
      </c>
    </row>
    <row r="24" customFormat="false" ht="15" hidden="false" customHeight="false" outlineLevel="0" collapsed="false">
      <c r="A24" s="4" t="s">
        <v>158</v>
      </c>
      <c r="B24" s="5"/>
      <c r="C24" s="5"/>
      <c r="D24" s="5"/>
      <c r="E24" s="5"/>
    </row>
    <row r="25" customFormat="false" ht="15" hidden="false" customHeight="false" outlineLevel="0" collapsed="false">
      <c r="A25" s="6" t="s">
        <v>159</v>
      </c>
      <c r="B25" s="7" t="n">
        <f aca="false">Assumptions!$B$30</f>
        <v>35000</v>
      </c>
      <c r="C25" s="18" t="n">
        <v>0</v>
      </c>
      <c r="D25" s="18" t="n">
        <v>0</v>
      </c>
      <c r="E25" s="14" t="s">
        <v>160</v>
      </c>
    </row>
    <row r="26" customFormat="false" ht="15" hidden="false" customHeight="false" outlineLevel="0" collapsed="false">
      <c r="A26" s="6" t="s">
        <v>161</v>
      </c>
      <c r="B26" s="7" t="n">
        <f aca="false">Assumptions!$B$29*12</f>
        <v>18000</v>
      </c>
      <c r="C26" s="7" t="n">
        <f aca="false">Assumptions!$B$29*12</f>
        <v>18000</v>
      </c>
      <c r="D26" s="7" t="n">
        <f aca="false">Assumptions!$B$29*12</f>
        <v>18000</v>
      </c>
      <c r="E26" s="14" t="s">
        <v>162</v>
      </c>
    </row>
    <row r="27" customFormat="false" ht="15" hidden="false" customHeight="false" outlineLevel="0" collapsed="false">
      <c r="A27" s="6" t="s">
        <v>163</v>
      </c>
      <c r="B27" s="7" t="n">
        <f aca="false">Assumptions!$B$31</f>
        <v>15000</v>
      </c>
      <c r="C27" s="7" t="n">
        <f aca="false">Assumptions!$B$32</f>
        <v>5000</v>
      </c>
      <c r="D27" s="7" t="n">
        <f aca="false">Assumptions!$B$32</f>
        <v>5000</v>
      </c>
      <c r="E27" s="14" t="s">
        <v>164</v>
      </c>
    </row>
    <row r="28" customFormat="false" ht="15" hidden="false" customHeight="false" outlineLevel="0" collapsed="false">
      <c r="A28" s="6" t="s">
        <v>165</v>
      </c>
      <c r="B28" s="7" t="n">
        <f aca="false">Assumptions!$B$33</f>
        <v>24000</v>
      </c>
      <c r="C28" s="7" t="n">
        <f aca="false">Assumptions!$B$34</f>
        <v>72000</v>
      </c>
      <c r="D28" s="7" t="n">
        <f aca="false">Assumptions!$B$35</f>
        <v>144000</v>
      </c>
      <c r="E28" s="14" t="s">
        <v>166</v>
      </c>
    </row>
    <row r="29" customFormat="false" ht="15" hidden="false" customHeight="false" outlineLevel="0" collapsed="false">
      <c r="A29" s="6" t="s">
        <v>167</v>
      </c>
      <c r="B29" s="7" t="n">
        <f aca="false">Assumptions!$B$38</f>
        <v>6000</v>
      </c>
      <c r="C29" s="7" t="n">
        <f aca="false">Assumptions!$B$38</f>
        <v>6000</v>
      </c>
      <c r="D29" s="7" t="n">
        <f aca="false">Assumptions!$B$38</f>
        <v>6000</v>
      </c>
      <c r="E29" s="14" t="s">
        <v>168</v>
      </c>
    </row>
    <row r="30" customFormat="false" ht="15" hidden="false" customHeight="false" outlineLevel="0" collapsed="false">
      <c r="A30" s="6" t="s">
        <v>169</v>
      </c>
      <c r="B30" s="7" t="n">
        <f aca="false">Assumptions!$B$39</f>
        <v>3600</v>
      </c>
      <c r="C30" s="7" t="n">
        <f aca="false">Assumptions!$B$39</f>
        <v>3600</v>
      </c>
      <c r="D30" s="7" t="n">
        <f aca="false">Assumptions!$B$39</f>
        <v>3600</v>
      </c>
      <c r="E30" s="14" t="s">
        <v>170</v>
      </c>
    </row>
    <row r="31" customFormat="false" ht="15" hidden="false" customHeight="false" outlineLevel="0" collapsed="false">
      <c r="A31" s="6" t="s">
        <v>171</v>
      </c>
      <c r="B31" s="7" t="n">
        <f aca="false">Assumptions!$B$40</f>
        <v>2400</v>
      </c>
      <c r="C31" s="7" t="n">
        <f aca="false">Assumptions!$B$40</f>
        <v>2400</v>
      </c>
      <c r="D31" s="7" t="n">
        <f aca="false">Assumptions!$B$40</f>
        <v>2400</v>
      </c>
      <c r="E31" s="14" t="s">
        <v>172</v>
      </c>
    </row>
    <row r="32" customFormat="false" ht="15" hidden="false" customHeight="false" outlineLevel="0" collapsed="false">
      <c r="A32" s="8" t="s">
        <v>173</v>
      </c>
      <c r="B32" s="9" t="n">
        <f aca="false">SUM(B25:B31)</f>
        <v>104000</v>
      </c>
      <c r="C32" s="9" t="n">
        <f aca="false">SUM(C25:C31)</f>
        <v>107000</v>
      </c>
      <c r="D32" s="9" t="n">
        <f aca="false">SUM(D25:D31)</f>
        <v>179000</v>
      </c>
      <c r="E32" s="21" t="s">
        <v>174</v>
      </c>
    </row>
    <row r="33" customFormat="false" ht="15" hidden="false" customHeight="false" outlineLevel="0" collapsed="false">
      <c r="A33" s="6" t="s">
        <v>175</v>
      </c>
      <c r="B33" s="18" t="n">
        <f aca="false">B32*Assumptions!$B$41</f>
        <v>10400</v>
      </c>
      <c r="C33" s="18" t="n">
        <f aca="false">C32*Assumptions!$B$41</f>
        <v>10700</v>
      </c>
      <c r="D33" s="18" t="n">
        <f aca="false">D32*Assumptions!$B$41</f>
        <v>17900</v>
      </c>
      <c r="E33" s="14" t="s">
        <v>176</v>
      </c>
    </row>
    <row r="34" customFormat="false" ht="15" hidden="false" customHeight="false" outlineLevel="0" collapsed="false">
      <c r="A34" s="8" t="s">
        <v>177</v>
      </c>
      <c r="B34" s="9" t="n">
        <f aca="false">B32+B33</f>
        <v>114400</v>
      </c>
      <c r="C34" s="9" t="n">
        <f aca="false">C32+C33</f>
        <v>117700</v>
      </c>
      <c r="D34" s="9" t="n">
        <f aca="false">D32+D33</f>
        <v>196900</v>
      </c>
      <c r="E34" s="21" t="s">
        <v>178</v>
      </c>
    </row>
    <row r="35" customFormat="false" ht="15" hidden="false" customHeight="false" outlineLevel="0" collapsed="false">
      <c r="A35" s="8" t="s">
        <v>179</v>
      </c>
      <c r="B35" s="9" t="n">
        <f aca="false">B22-B34</f>
        <v>16193</v>
      </c>
      <c r="C35" s="9" t="n">
        <f aca="false">C22-C34</f>
        <v>660245</v>
      </c>
      <c r="D35" s="9" t="n">
        <f aca="false">D22-D34</f>
        <v>2249765</v>
      </c>
      <c r="E35" s="21" t="s">
        <v>180</v>
      </c>
    </row>
    <row r="36" customFormat="false" ht="15" hidden="false" customHeight="false" outlineLevel="0" collapsed="false">
      <c r="A36" s="6" t="s">
        <v>10</v>
      </c>
      <c r="B36" s="22" t="n">
        <f aca="false">IFERROR(B35/B22,0)</f>
        <v>0.123995926274762</v>
      </c>
      <c r="C36" s="22" t="n">
        <f aca="false">IFERROR(C35/C22,0)</f>
        <v>0.848703957220626</v>
      </c>
      <c r="D36" s="22" t="n">
        <f aca="false">IFERROR(D35/D22,0)</f>
        <v>0.91952310594217</v>
      </c>
      <c r="E36" s="14" t="s">
        <v>181</v>
      </c>
    </row>
    <row r="37" customFormat="false" ht="15" hidden="false" customHeight="false" outlineLevel="0" collapsed="false">
      <c r="A37" s="6" t="s">
        <v>182</v>
      </c>
      <c r="B37" s="18" t="n">
        <f aca="false">B35</f>
        <v>16193</v>
      </c>
      <c r="C37" s="18" t="n">
        <f aca="false">B37+C35</f>
        <v>676438</v>
      </c>
      <c r="D37" s="18" t="n">
        <f aca="false">C37+D35</f>
        <v>2926203</v>
      </c>
      <c r="E37" s="14" t="s">
        <v>183</v>
      </c>
    </row>
    <row r="39" customFormat="false" ht="15" hidden="false" customHeight="false" outlineLevel="0" collapsed="false">
      <c r="A39" s="14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  <col collapsed="false" customWidth="true" hidden="false" outlineLevel="0" max="5" min="5" style="0" width="45"/>
  </cols>
  <sheetData>
    <row r="1" customFormat="false" ht="17.35" hidden="false" customHeight="false" outlineLevel="0" collapsed="false">
      <c r="A1" s="1" t="s">
        <v>185</v>
      </c>
    </row>
    <row r="2" customFormat="false" ht="15" hidden="false" customHeight="false" outlineLevel="0" collapsed="false">
      <c r="A2" s="2" t="s">
        <v>186</v>
      </c>
    </row>
    <row r="3" customFormat="false" ht="15" hidden="false" customHeight="false" outlineLevel="0" collapsed="false">
      <c r="A3" s="3" t="s">
        <v>121</v>
      </c>
      <c r="B3" s="3" t="s">
        <v>122</v>
      </c>
      <c r="C3" s="3" t="s">
        <v>123</v>
      </c>
      <c r="D3" s="3" t="s">
        <v>124</v>
      </c>
      <c r="E3" s="3" t="s">
        <v>125</v>
      </c>
    </row>
    <row r="4" customFormat="false" ht="15" hidden="false" customHeight="false" outlineLevel="0" collapsed="false">
      <c r="A4" s="4" t="s">
        <v>187</v>
      </c>
      <c r="B4" s="5"/>
      <c r="C4" s="5"/>
      <c r="D4" s="5"/>
      <c r="E4" s="5"/>
    </row>
    <row r="5" customFormat="false" ht="15" hidden="false" customHeight="false" outlineLevel="0" collapsed="false">
      <c r="A5" s="6" t="s">
        <v>188</v>
      </c>
      <c r="B5" s="7" t="n">
        <f aca="false">'P&amp;L'!B22</f>
        <v>130593</v>
      </c>
      <c r="C5" s="7" t="n">
        <f aca="false">'P&amp;L'!C22</f>
        <v>777945</v>
      </c>
      <c r="D5" s="7" t="n">
        <f aca="false">'P&amp;L'!D22</f>
        <v>2446665</v>
      </c>
      <c r="E5" s="14" t="s">
        <v>189</v>
      </c>
    </row>
    <row r="6" customFormat="false" ht="15" hidden="false" customHeight="false" outlineLevel="0" collapsed="false">
      <c r="A6" s="6" t="s">
        <v>190</v>
      </c>
      <c r="B6" s="7" t="n">
        <f aca="false">-'P&amp;L'!B34</f>
        <v>-114400</v>
      </c>
      <c r="C6" s="7" t="n">
        <f aca="false">-'P&amp;L'!C34</f>
        <v>-117700</v>
      </c>
      <c r="D6" s="7" t="n">
        <f aca="false">-'P&amp;L'!D34</f>
        <v>-196900</v>
      </c>
      <c r="E6" s="14" t="s">
        <v>191</v>
      </c>
    </row>
    <row r="7" customFormat="false" ht="15" hidden="false" customHeight="false" outlineLevel="0" collapsed="false">
      <c r="A7" s="8" t="s">
        <v>192</v>
      </c>
      <c r="B7" s="9" t="n">
        <f aca="false">B5+B6</f>
        <v>16193</v>
      </c>
      <c r="C7" s="9" t="n">
        <f aca="false">C5+C6</f>
        <v>660245</v>
      </c>
      <c r="D7" s="9" t="n">
        <f aca="false">D5+D6</f>
        <v>2249765</v>
      </c>
      <c r="E7" s="21" t="s">
        <v>193</v>
      </c>
    </row>
    <row r="8" customFormat="false" ht="15" hidden="false" customHeight="false" outlineLevel="0" collapsed="false">
      <c r="A8" s="4" t="s">
        <v>194</v>
      </c>
      <c r="B8" s="5"/>
      <c r="C8" s="5"/>
      <c r="D8" s="5"/>
      <c r="E8" s="5"/>
    </row>
    <row r="9" customFormat="false" ht="15" hidden="false" customHeight="false" outlineLevel="0" collapsed="false">
      <c r="A9" s="6" t="s">
        <v>195</v>
      </c>
      <c r="B9" s="7" t="n">
        <f aca="false">-Assumptions!$B$36</f>
        <v>-50000</v>
      </c>
      <c r="C9" s="7" t="n">
        <f aca="false">-Assumptions!$B$37</f>
        <v>-75000</v>
      </c>
      <c r="D9" s="18" t="n">
        <v>0</v>
      </c>
      <c r="E9" s="14" t="s">
        <v>196</v>
      </c>
    </row>
    <row r="10" customFormat="false" ht="15" hidden="false" customHeight="false" outlineLevel="0" collapsed="false">
      <c r="A10" s="6" t="s">
        <v>197</v>
      </c>
      <c r="B10" s="18" t="n">
        <v>0</v>
      </c>
      <c r="C10" s="18" t="n">
        <v>0</v>
      </c>
      <c r="D10" s="18" t="n">
        <v>0</v>
      </c>
      <c r="E10" s="14" t="s">
        <v>198</v>
      </c>
    </row>
    <row r="11" customFormat="false" ht="15" hidden="false" customHeight="false" outlineLevel="0" collapsed="false">
      <c r="A11" s="8" t="s">
        <v>199</v>
      </c>
      <c r="B11" s="9" t="n">
        <f aca="false">B9+B10</f>
        <v>-50000</v>
      </c>
      <c r="C11" s="9" t="n">
        <f aca="false">C9+C10</f>
        <v>-75000</v>
      </c>
      <c r="D11" s="9" t="n">
        <f aca="false">D9+D10</f>
        <v>0</v>
      </c>
      <c r="E11" s="21" t="s">
        <v>200</v>
      </c>
    </row>
    <row r="12" customFormat="false" ht="15" hidden="false" customHeight="false" outlineLevel="0" collapsed="false">
      <c r="A12" s="4" t="s">
        <v>201</v>
      </c>
      <c r="B12" s="5"/>
      <c r="C12" s="5"/>
      <c r="D12" s="5"/>
      <c r="E12" s="5"/>
    </row>
    <row r="13" customFormat="false" ht="15" hidden="false" customHeight="false" outlineLevel="0" collapsed="false">
      <c r="A13" s="6" t="s">
        <v>202</v>
      </c>
      <c r="B13" s="7" t="n">
        <f aca="false">Assumptions!$B$43</f>
        <v>75000</v>
      </c>
      <c r="C13" s="18" t="n">
        <v>0</v>
      </c>
      <c r="D13" s="18" t="n">
        <v>0</v>
      </c>
      <c r="E13" s="14" t="s">
        <v>203</v>
      </c>
    </row>
    <row r="14" customFormat="false" ht="15" hidden="false" customHeight="false" outlineLevel="0" collapsed="false">
      <c r="A14" s="6" t="s">
        <v>204</v>
      </c>
      <c r="B14" s="7" t="n">
        <f aca="false">Assumptions!$B$44</f>
        <v>50000</v>
      </c>
      <c r="C14" s="18" t="n">
        <v>0</v>
      </c>
      <c r="D14" s="18" t="n">
        <v>0</v>
      </c>
      <c r="E14" s="14" t="s">
        <v>205</v>
      </c>
    </row>
    <row r="15" customFormat="false" ht="15" hidden="false" customHeight="false" outlineLevel="0" collapsed="false">
      <c r="A15" s="6" t="s">
        <v>206</v>
      </c>
      <c r="B15" s="18" t="n">
        <v>0</v>
      </c>
      <c r="C15" s="18" t="n">
        <v>0</v>
      </c>
      <c r="D15" s="18" t="n">
        <v>0</v>
      </c>
      <c r="E15" s="14" t="s">
        <v>207</v>
      </c>
    </row>
    <row r="16" customFormat="false" ht="15" hidden="false" customHeight="false" outlineLevel="0" collapsed="false">
      <c r="A16" s="8" t="s">
        <v>208</v>
      </c>
      <c r="B16" s="9" t="n">
        <f aca="false">SUM(B13:B15)</f>
        <v>125000</v>
      </c>
      <c r="C16" s="9" t="n">
        <f aca="false">SUM(C13:C15)</f>
        <v>0</v>
      </c>
      <c r="D16" s="9" t="n">
        <f aca="false">SUM(D13:D15)</f>
        <v>0</v>
      </c>
      <c r="E16" s="21" t="s">
        <v>209</v>
      </c>
    </row>
    <row r="17" customFormat="false" ht="15" hidden="false" customHeight="false" outlineLevel="0" collapsed="false">
      <c r="A17" s="8" t="s">
        <v>210</v>
      </c>
      <c r="B17" s="9" t="n">
        <f aca="false">B7+B11+B16</f>
        <v>91193</v>
      </c>
      <c r="C17" s="9" t="n">
        <f aca="false">C7+C11+C16</f>
        <v>585245</v>
      </c>
      <c r="D17" s="9" t="n">
        <f aca="false">D7+D11+D16</f>
        <v>2249765</v>
      </c>
      <c r="E17" s="21" t="s">
        <v>211</v>
      </c>
    </row>
    <row r="18" customFormat="false" ht="15" hidden="false" customHeight="false" outlineLevel="0" collapsed="false">
      <c r="A18" s="6" t="s">
        <v>212</v>
      </c>
      <c r="B18" s="18" t="n">
        <v>0</v>
      </c>
      <c r="C18" s="18" t="n">
        <f aca="false">B19</f>
        <v>91193</v>
      </c>
      <c r="D18" s="18" t="n">
        <f aca="false">C19</f>
        <v>676438</v>
      </c>
      <c r="E18" s="14" t="s">
        <v>213</v>
      </c>
    </row>
    <row r="19" customFormat="false" ht="15" hidden="false" customHeight="false" outlineLevel="0" collapsed="false">
      <c r="A19" s="8" t="s">
        <v>214</v>
      </c>
      <c r="B19" s="9" t="n">
        <f aca="false">B18+B17</f>
        <v>91193</v>
      </c>
      <c r="C19" s="9" t="n">
        <f aca="false">C18+C17</f>
        <v>676438</v>
      </c>
      <c r="D19" s="9" t="n">
        <f aca="false">D18+D17</f>
        <v>2926203</v>
      </c>
      <c r="E19" s="21" t="s">
        <v>215</v>
      </c>
    </row>
    <row r="21" customFormat="false" ht="15" hidden="false" customHeight="false" outlineLevel="0" collapsed="false">
      <c r="A21" s="14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217</v>
      </c>
    </row>
    <row r="2" customFormat="false" ht="15" hidden="false" customHeight="false" outlineLevel="0" collapsed="false">
      <c r="A2" s="2" t="s">
        <v>218</v>
      </c>
    </row>
    <row r="3" customFormat="false" ht="15" hidden="false" customHeight="false" outlineLevel="0" collapsed="false">
      <c r="A3" s="3" t="s">
        <v>219</v>
      </c>
      <c r="B3" s="3" t="s">
        <v>220</v>
      </c>
      <c r="C3" s="3" t="s">
        <v>221</v>
      </c>
      <c r="D3" s="3" t="s">
        <v>125</v>
      </c>
    </row>
    <row r="4" customFormat="false" ht="15" hidden="false" customHeight="false" outlineLevel="0" collapsed="false">
      <c r="A4" s="4" t="s">
        <v>222</v>
      </c>
      <c r="B4" s="5"/>
      <c r="C4" s="5"/>
      <c r="D4" s="5"/>
    </row>
    <row r="5" customFormat="false" ht="15" hidden="false" customHeight="false" outlineLevel="0" collapsed="false">
      <c r="A5" s="6" t="s">
        <v>223</v>
      </c>
      <c r="B5" s="23" t="n">
        <v>20000</v>
      </c>
      <c r="C5" s="6" t="s">
        <v>224</v>
      </c>
      <c r="D5" s="14" t="s">
        <v>225</v>
      </c>
    </row>
    <row r="6" customFormat="false" ht="15" hidden="false" customHeight="false" outlineLevel="0" collapsed="false">
      <c r="A6" s="6" t="s">
        <v>226</v>
      </c>
      <c r="B6" s="20" t="n">
        <v>5000</v>
      </c>
      <c r="C6" s="6" t="s">
        <v>224</v>
      </c>
      <c r="D6" s="14" t="s">
        <v>227</v>
      </c>
    </row>
    <row r="7" customFormat="false" ht="15" hidden="false" customHeight="false" outlineLevel="0" collapsed="false">
      <c r="A7" s="6" t="s">
        <v>228</v>
      </c>
      <c r="B7" s="20" t="n">
        <v>3000</v>
      </c>
      <c r="C7" s="6" t="s">
        <v>224</v>
      </c>
      <c r="D7" s="14" t="s">
        <v>229</v>
      </c>
    </row>
    <row r="8" customFormat="false" ht="15" hidden="false" customHeight="false" outlineLevel="0" collapsed="false">
      <c r="A8" s="6" t="s">
        <v>230</v>
      </c>
      <c r="B8" s="20" t="n">
        <v>4000</v>
      </c>
      <c r="C8" s="6" t="s">
        <v>224</v>
      </c>
      <c r="D8" s="14" t="s">
        <v>231</v>
      </c>
    </row>
    <row r="9" customFormat="false" ht="15" hidden="false" customHeight="false" outlineLevel="0" collapsed="false">
      <c r="A9" s="6" t="s">
        <v>232</v>
      </c>
      <c r="B9" s="20" t="n">
        <v>2000</v>
      </c>
      <c r="C9" s="6" t="s">
        <v>233</v>
      </c>
      <c r="D9" s="14" t="s">
        <v>234</v>
      </c>
    </row>
    <row r="10" customFormat="false" ht="15" hidden="false" customHeight="false" outlineLevel="0" collapsed="false">
      <c r="A10" s="4" t="s">
        <v>235</v>
      </c>
      <c r="B10" s="5"/>
      <c r="C10" s="5"/>
      <c r="D10" s="5"/>
    </row>
    <row r="11" customFormat="false" ht="15" hidden="false" customHeight="false" outlineLevel="0" collapsed="false">
      <c r="A11" s="6" t="s">
        <v>236</v>
      </c>
      <c r="B11" s="23" t="n">
        <v>8000</v>
      </c>
      <c r="C11" s="6" t="s">
        <v>233</v>
      </c>
      <c r="D11" s="14" t="s">
        <v>237</v>
      </c>
    </row>
    <row r="12" customFormat="false" ht="15" hidden="false" customHeight="false" outlineLevel="0" collapsed="false">
      <c r="A12" s="6" t="s">
        <v>238</v>
      </c>
      <c r="B12" s="20" t="n">
        <v>3000</v>
      </c>
      <c r="C12" s="6" t="s">
        <v>233</v>
      </c>
      <c r="D12" s="14" t="s">
        <v>239</v>
      </c>
    </row>
    <row r="13" customFormat="false" ht="15" hidden="false" customHeight="false" outlineLevel="0" collapsed="false">
      <c r="A13" s="6" t="s">
        <v>240</v>
      </c>
      <c r="B13" s="20" t="n">
        <v>2500</v>
      </c>
      <c r="C13" s="6" t="s">
        <v>233</v>
      </c>
      <c r="D13" s="14" t="s">
        <v>241</v>
      </c>
    </row>
    <row r="14" customFormat="false" ht="15" hidden="false" customHeight="false" outlineLevel="0" collapsed="false">
      <c r="A14" s="6" t="s">
        <v>242</v>
      </c>
      <c r="B14" s="20" t="n">
        <v>1500</v>
      </c>
      <c r="C14" s="6" t="s">
        <v>233</v>
      </c>
      <c r="D14" s="14" t="s">
        <v>243</v>
      </c>
    </row>
    <row r="15" customFormat="false" ht="15" hidden="false" customHeight="false" outlineLevel="0" collapsed="false">
      <c r="A15" s="4" t="s">
        <v>244</v>
      </c>
      <c r="B15" s="5"/>
      <c r="C15" s="5"/>
      <c r="D15" s="5"/>
    </row>
    <row r="16" customFormat="false" ht="15" hidden="false" customHeight="false" outlineLevel="0" collapsed="false">
      <c r="A16" s="6" t="s">
        <v>245</v>
      </c>
      <c r="B16" s="7" t="n">
        <f aca="false">Assumptions!$B$36</f>
        <v>50000</v>
      </c>
      <c r="C16" s="6" t="s">
        <v>246</v>
      </c>
      <c r="D16" s="14" t="s">
        <v>247</v>
      </c>
    </row>
    <row r="17" customFormat="false" ht="15" hidden="false" customHeight="false" outlineLevel="0" collapsed="false">
      <c r="A17" s="6" t="s">
        <v>248</v>
      </c>
      <c r="B17" s="20" t="n">
        <v>5000</v>
      </c>
      <c r="C17" s="6" t="s">
        <v>246</v>
      </c>
      <c r="D17" s="14" t="s">
        <v>249</v>
      </c>
    </row>
    <row r="18" customFormat="false" ht="15" hidden="false" customHeight="false" outlineLevel="0" collapsed="false">
      <c r="A18" s="4" t="s">
        <v>250</v>
      </c>
      <c r="B18" s="5"/>
      <c r="C18" s="5"/>
      <c r="D18" s="5"/>
    </row>
    <row r="19" customFormat="false" ht="15" hidden="false" customHeight="false" outlineLevel="0" collapsed="false">
      <c r="A19" s="6" t="s">
        <v>251</v>
      </c>
      <c r="B19" s="7" t="n">
        <f aca="false">Assumptions!$B$33</f>
        <v>24000</v>
      </c>
      <c r="C19" s="6" t="s">
        <v>233</v>
      </c>
      <c r="D19" s="14" t="s">
        <v>252</v>
      </c>
    </row>
    <row r="20" customFormat="false" ht="15" hidden="false" customHeight="false" outlineLevel="0" collapsed="false">
      <c r="A20" s="6" t="s">
        <v>253</v>
      </c>
      <c r="B20" s="20" t="n">
        <v>6000</v>
      </c>
      <c r="C20" s="6" t="s">
        <v>233</v>
      </c>
      <c r="D20" s="14" t="s">
        <v>254</v>
      </c>
    </row>
    <row r="21" customFormat="false" ht="15" hidden="false" customHeight="false" outlineLevel="0" collapsed="false">
      <c r="A21" s="6" t="s">
        <v>255</v>
      </c>
      <c r="B21" s="20" t="n">
        <v>4000</v>
      </c>
      <c r="C21" s="6" t="s">
        <v>233</v>
      </c>
      <c r="D21" s="14" t="s">
        <v>256</v>
      </c>
    </row>
    <row r="22" customFormat="false" ht="15" hidden="false" customHeight="false" outlineLevel="0" collapsed="false">
      <c r="A22" s="6" t="s">
        <v>257</v>
      </c>
      <c r="B22" s="20" t="n">
        <v>3600</v>
      </c>
      <c r="C22" s="6" t="s">
        <v>233</v>
      </c>
      <c r="D22" s="14" t="s">
        <v>258</v>
      </c>
    </row>
    <row r="23" customFormat="false" ht="15" hidden="false" customHeight="false" outlineLevel="0" collapsed="false">
      <c r="A23" s="4" t="s">
        <v>259</v>
      </c>
      <c r="B23" s="5"/>
      <c r="C23" s="5"/>
      <c r="D23" s="5"/>
    </row>
    <row r="24" customFormat="false" ht="15" hidden="false" customHeight="false" outlineLevel="0" collapsed="false">
      <c r="A24" s="6" t="s">
        <v>260</v>
      </c>
      <c r="B24" s="20" t="n">
        <v>2000</v>
      </c>
      <c r="C24" s="6" t="s">
        <v>233</v>
      </c>
      <c r="D24" s="14" t="s">
        <v>261</v>
      </c>
    </row>
    <row r="25" customFormat="false" ht="15" hidden="false" customHeight="false" outlineLevel="0" collapsed="false">
      <c r="A25" s="6" t="s">
        <v>262</v>
      </c>
      <c r="B25" s="20" t="n">
        <v>2000</v>
      </c>
      <c r="C25" s="6" t="s">
        <v>233</v>
      </c>
      <c r="D25" s="14" t="s">
        <v>263</v>
      </c>
    </row>
    <row r="26" customFormat="false" ht="15" hidden="false" customHeight="false" outlineLevel="0" collapsed="false">
      <c r="A26" s="6" t="s">
        <v>264</v>
      </c>
      <c r="B26" s="20" t="n">
        <v>2000</v>
      </c>
      <c r="C26" s="6" t="s">
        <v>233</v>
      </c>
      <c r="D26" s="14" t="s">
        <v>265</v>
      </c>
    </row>
    <row r="27" customFormat="false" ht="15" hidden="false" customHeight="false" outlineLevel="0" collapsed="false">
      <c r="A27" s="4" t="s">
        <v>266</v>
      </c>
      <c r="B27" s="5"/>
      <c r="C27" s="5"/>
      <c r="D27" s="5"/>
    </row>
    <row r="28" customFormat="false" ht="15" hidden="false" customHeight="false" outlineLevel="0" collapsed="false">
      <c r="A28" s="6" t="s">
        <v>267</v>
      </c>
      <c r="B28" s="20" t="n">
        <v>2000</v>
      </c>
      <c r="C28" s="6" t="s">
        <v>233</v>
      </c>
      <c r="D28" s="14" t="s">
        <v>268</v>
      </c>
    </row>
    <row r="29" customFormat="false" ht="15" hidden="false" customHeight="false" outlineLevel="0" collapsed="false">
      <c r="A29" s="6" t="s">
        <v>269</v>
      </c>
      <c r="B29" s="20" t="n">
        <v>3000</v>
      </c>
      <c r="C29" s="6" t="s">
        <v>233</v>
      </c>
      <c r="D29" s="14" t="s">
        <v>270</v>
      </c>
    </row>
    <row r="30" customFormat="false" ht="15" hidden="false" customHeight="false" outlineLevel="0" collapsed="false">
      <c r="A30" s="8" t="s">
        <v>271</v>
      </c>
      <c r="B30" s="9" t="n">
        <f aca="false">SUM(B5:B9)+SUM(B11:B14)+SUM(B16:B17)+SUM(B19:B22)+SUM(B24:B26)+SUM(B28:B29)</f>
        <v>152600</v>
      </c>
      <c r="C30" s="24"/>
      <c r="D30" s="21" t="s">
        <v>272</v>
      </c>
    </row>
    <row r="31" customFormat="false" ht="15" hidden="false" customHeight="false" outlineLevel="0" collapsed="false">
      <c r="A31" s="4" t="s">
        <v>273</v>
      </c>
      <c r="B31" s="5"/>
      <c r="C31" s="5"/>
      <c r="D31" s="5"/>
    </row>
    <row r="32" customFormat="false" ht="15" hidden="false" customHeight="false" outlineLevel="0" collapsed="false">
      <c r="A32" s="6" t="s">
        <v>274</v>
      </c>
      <c r="B32" s="18" t="n">
        <f aca="false">B30*Assumptions!$B$41</f>
        <v>15260</v>
      </c>
      <c r="C32" s="6" t="s">
        <v>275</v>
      </c>
      <c r="D32" s="14" t="s">
        <v>276</v>
      </c>
    </row>
    <row r="33" customFormat="false" ht="15" hidden="false" customHeight="false" outlineLevel="0" collapsed="false">
      <c r="A33" s="8" t="s">
        <v>277</v>
      </c>
      <c r="B33" s="9" t="n">
        <f aca="false">B30+B32</f>
        <v>167860</v>
      </c>
      <c r="C33" s="24"/>
      <c r="D33" s="24"/>
    </row>
    <row r="35" customFormat="false" ht="15" hidden="false" customHeight="false" outlineLevel="0" collapsed="false">
      <c r="A35" s="4" t="s">
        <v>278</v>
      </c>
      <c r="B35" s="5"/>
      <c r="C35" s="5"/>
      <c r="D35" s="5"/>
    </row>
    <row r="36" customFormat="false" ht="15" hidden="false" customHeight="false" outlineLevel="0" collapsed="false">
      <c r="A36" s="3" t="s">
        <v>279</v>
      </c>
      <c r="B36" s="3" t="s">
        <v>220</v>
      </c>
      <c r="C36" s="3" t="s">
        <v>280</v>
      </c>
      <c r="D36" s="3" t="s">
        <v>125</v>
      </c>
    </row>
    <row r="37" customFormat="false" ht="15" hidden="false" customHeight="false" outlineLevel="0" collapsed="false">
      <c r="A37" s="6" t="s">
        <v>281</v>
      </c>
      <c r="B37" s="7" t="n">
        <f aca="false">Assumptions!$B$43</f>
        <v>75000</v>
      </c>
      <c r="C37" s="6" t="s">
        <v>282</v>
      </c>
      <c r="D37" s="14" t="s">
        <v>283</v>
      </c>
    </row>
    <row r="38" customFormat="false" ht="15" hidden="false" customHeight="false" outlineLevel="0" collapsed="false">
      <c r="A38" s="6" t="s">
        <v>284</v>
      </c>
      <c r="B38" s="7" t="n">
        <f aca="false">Assumptions!$B$44</f>
        <v>50000</v>
      </c>
      <c r="C38" s="6" t="s">
        <v>285</v>
      </c>
      <c r="D38" s="14" t="s">
        <v>286</v>
      </c>
    </row>
    <row r="39" customFormat="false" ht="15" hidden="false" customHeight="false" outlineLevel="0" collapsed="false">
      <c r="A39" s="6" t="s">
        <v>287</v>
      </c>
      <c r="B39" s="20" t="n">
        <v>0</v>
      </c>
      <c r="C39" s="6" t="s">
        <v>288</v>
      </c>
      <c r="D39" s="14" t="s">
        <v>289</v>
      </c>
    </row>
    <row r="40" customFormat="false" ht="15" hidden="false" customHeight="false" outlineLevel="0" collapsed="false">
      <c r="A40" s="6" t="s">
        <v>290</v>
      </c>
      <c r="B40" s="20" t="n">
        <v>0</v>
      </c>
      <c r="C40" s="6" t="s">
        <v>291</v>
      </c>
      <c r="D40" s="14" t="s">
        <v>292</v>
      </c>
    </row>
    <row r="41" customFormat="false" ht="15" hidden="false" customHeight="false" outlineLevel="0" collapsed="false">
      <c r="A41" s="8" t="s">
        <v>293</v>
      </c>
      <c r="B41" s="9" t="n">
        <f aca="false">SUM(B37:B40)</f>
        <v>125000</v>
      </c>
      <c r="C41" s="24"/>
      <c r="D41" s="24"/>
    </row>
    <row r="42" customFormat="false" ht="15" hidden="false" customHeight="false" outlineLevel="0" collapsed="false">
      <c r="A42" s="8" t="s">
        <v>294</v>
      </c>
      <c r="B42" s="9" t="n">
        <f aca="false">B33-B41</f>
        <v>42860</v>
      </c>
      <c r="C42" s="24"/>
      <c r="D42" s="24"/>
    </row>
    <row r="44" customFormat="false" ht="15" hidden="false" customHeight="false" outlineLevel="0" collapsed="false">
      <c r="A44" s="14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2026-07-15T09:35:04Z</dcterms:created>
  <dc:creator>openpyxl</dc:creator>
  <dc:description/>
  <dc:language>en-US</dc:language>
  <cp:lastModifiedBy/>
  <dcterms:modified xsi:type="dcterms:W3CDTF">2026-07-15T09:37:10Z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