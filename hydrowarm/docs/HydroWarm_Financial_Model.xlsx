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4" autoFilterDateGrouping="1"/>
  </bookViews>
  <sheets>
    <sheet xmlns:r="http://schemas.openxmlformats.org/officeDocument/2006/relationships" name="Assumptions" sheetId="1" state="visible" r:id="rId1"/>
    <sheet xmlns:r="http://schemas.openxmlformats.org/officeDocument/2006/relationships" name="Direct Channel" sheetId="2" state="visible" r:id="rId2"/>
    <sheet xmlns:r="http://schemas.openxmlformats.org/officeDocument/2006/relationships" name="Partner Channels" sheetId="3" state="visible" r:id="rId3"/>
    <sheet xmlns:r="http://schemas.openxmlformats.org/officeDocument/2006/relationships" name="Scenario Comparison" sheetId="4" state="visible" r:id="rId4"/>
    <sheet xmlns:r="http://schemas.openxmlformats.org/officeDocument/2006/relationships" name="Dashboard" sheetId="5" state="visible" r:id="rId5"/>
  </sheets>
  <definedNames/>
  <calcPr calcId="124519" fullCalcOnLoad="1"/>
</workbook>
</file>

<file path=xl/styles.xml><?xml version="1.0" encoding="utf-8"?>
<styleSheet xmlns="http://schemas.openxmlformats.org/spreadsheetml/2006/main">
  <numFmts count="3">
    <numFmt numFmtId="164" formatCode="€#,##0;(€#,##0);&quot;-&quot;"/>
    <numFmt numFmtId="165" formatCode="€#,##0.00;(€#,##0.00);&quot;-&quot;"/>
    <numFmt numFmtId="166" formatCode="0.0%;(0.0%);&quot;-&quot;"/>
  </numFmts>
  <fonts count="20">
    <font>
      <name val="Calibri"/>
      <family val="2"/>
      <color theme="1"/>
      <sz val="11"/>
      <scheme val="minor"/>
    </font>
    <font>
      <name val="Arial"/>
      <b val="1"/>
      <color rgb="001A2E4A"/>
      <sz val="16"/>
    </font>
    <font>
      <name val="Arial"/>
      <b val="1"/>
      <color rgb="001A6B8A"/>
      <sz val="12"/>
    </font>
    <font>
      <name val="Arial"/>
      <i val="1"/>
      <color rgb="006B7B82"/>
      <sz val="9"/>
    </font>
    <font>
      <name val="Arial"/>
      <b val="1"/>
      <color rgb="00FFFFFF"/>
      <sz val="12"/>
    </font>
    <font>
      <name val="Arial"/>
      <b val="1"/>
      <color rgb="00FFFFFF"/>
      <sz val="10"/>
    </font>
    <font>
      <name val="Arial"/>
      <b val="1"/>
      <color rgb="00000000"/>
      <sz val="10"/>
    </font>
    <font>
      <name val="Arial"/>
      <color rgb="000000FF"/>
      <sz val="10"/>
    </font>
    <font>
      <name val="Arial"/>
      <color rgb="00000000"/>
      <sz val="10"/>
    </font>
    <font>
      <name val="Arial"/>
      <i val="1"/>
      <color rgb="006B7B82"/>
      <sz val="8.5"/>
    </font>
    <font>
      <name val="Arial"/>
      <i val="1"/>
      <color rgb="000000FF"/>
      <sz val="10"/>
    </font>
    <font>
      <name val="Arial"/>
      <b val="1"/>
      <color rgb="001A2E4A"/>
      <sz val="14"/>
    </font>
    <font>
      <name val="Arial"/>
      <color rgb="00008000"/>
      <sz val="10"/>
    </font>
    <font>
      <name val="Arial"/>
      <b val="1"/>
      <color rgb="00008000"/>
      <sz val="10"/>
    </font>
    <font>
      <name val="Arial"/>
      <b val="1"/>
      <color rgb="001A2E4A"/>
      <sz val="10"/>
    </font>
    <font>
      <name val="Arial"/>
      <b val="1"/>
      <color rgb="001A2E4A"/>
      <sz val="18"/>
    </font>
    <font>
      <name val="Arial"/>
      <i val="1"/>
      <color rgb="006B7B82"/>
      <sz val="10"/>
    </font>
    <font>
      <name val="Arial"/>
      <b val="1"/>
      <color rgb="00FFFFFF"/>
      <sz val="9"/>
    </font>
    <font>
      <name val="Arial"/>
      <b val="1"/>
      <color rgb="001A2E4A"/>
      <sz val="20"/>
    </font>
    <font>
      <name val="Arial"/>
      <i val="1"/>
      <color rgb="00FFFFFF"/>
      <sz val="10"/>
    </font>
  </fonts>
  <fills count="9">
    <fill>
      <patternFill/>
    </fill>
    <fill>
      <patternFill patternType="gray125"/>
    </fill>
    <fill>
      <patternFill patternType="solid">
        <fgColor rgb="001A2E4A"/>
      </patternFill>
    </fill>
    <fill>
      <patternFill patternType="solid">
        <fgColor rgb="001A6B8A"/>
      </patternFill>
    </fill>
    <fill>
      <patternFill patternType="solid">
        <fgColor rgb="00EEF3F2"/>
      </patternFill>
    </fill>
    <fill>
      <patternFill patternType="solid">
        <fgColor rgb="00FFFFFF"/>
      </patternFill>
    </fill>
    <fill>
      <patternFill patternType="solid">
        <fgColor rgb="00124B61"/>
      </patternFill>
    </fill>
    <fill>
      <patternFill patternType="solid">
        <fgColor rgb="00C9531F"/>
      </patternFill>
    </fill>
    <fill>
      <patternFill patternType="solid">
        <fgColor rgb="00B8760A"/>
      </patternFill>
    </fill>
  </fills>
  <borders count="7">
    <border>
      <left/>
      <right/>
      <top/>
      <bottom/>
      <diagonal/>
    </border>
    <border>
      <left style="thin">
        <color rgb="00D7E1DE"/>
      </left>
      <right style="thin">
        <color rgb="00D7E1DE"/>
      </right>
      <top style="thin">
        <color rgb="00D7E1DE"/>
      </top>
      <bottom style="thin">
        <color rgb="00D7E1DE"/>
      </bottom>
    </border>
    <border/>
    <border>
      <left/>
      <right/>
      <top style="thin">
        <color rgb="00D7E1DE"/>
      </top>
      <bottom/>
      <diagonal/>
    </border>
    <border>
      <left/>
      <right style="thin">
        <color rgb="00D7E1DE"/>
      </right>
      <top style="thin">
        <color rgb="00D7E1DE"/>
      </top>
      <bottom/>
      <diagonal/>
    </border>
    <border>
      <left/>
      <right/>
      <top style="thin">
        <color rgb="00D7E1DE"/>
      </top>
      <bottom style="thin">
        <color rgb="00D7E1DE"/>
      </bottom>
      <diagonal/>
    </border>
    <border>
      <left/>
      <right style="thin">
        <color rgb="00D7E1DE"/>
      </right>
      <top style="thin">
        <color rgb="00D7E1DE"/>
      </top>
      <bottom style="thin">
        <color rgb="00D7E1DE"/>
      </bottom>
      <diagonal/>
    </border>
  </borders>
  <cellStyleXfs count="1">
    <xf numFmtId="0" fontId="0" fillId="0" borderId="0"/>
  </cellStyleXfs>
  <cellXfs count="66">
    <xf numFmtId="0" fontId="0" fillId="0" borderId="0" pivotButton="0" quotePrefix="0" xfId="0"/>
    <xf numFmtId="0" fontId="1" fillId="0" borderId="2"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4" fillId="2" borderId="0" applyAlignment="1" pivotButton="0" quotePrefix="0" xfId="0">
      <alignment vertical="center" indent="1"/>
    </xf>
    <xf numFmtId="0" fontId="5" fillId="3" borderId="1" applyAlignment="1" pivotButton="0" quotePrefix="0" xfId="0">
      <alignment vertical="center" wrapText="1"/>
    </xf>
    <xf numFmtId="0" fontId="6" fillId="4" borderId="1" applyAlignment="1" pivotButton="0" quotePrefix="0" xfId="0">
      <alignment vertical="center" wrapText="1"/>
    </xf>
    <xf numFmtId="164" fontId="7" fillId="4" borderId="1" applyAlignment="1" pivotButton="0" quotePrefix="0" xfId="0">
      <alignment vertical="center" wrapText="1"/>
    </xf>
    <xf numFmtId="165" fontId="7" fillId="4" borderId="1" applyAlignment="1" pivotButton="0" quotePrefix="0" xfId="0">
      <alignment vertical="center" wrapText="1"/>
    </xf>
    <xf numFmtId="165" fontId="8" fillId="4" borderId="1" applyAlignment="1" pivotButton="0" quotePrefix="0" xfId="0">
      <alignment vertical="center" wrapText="1"/>
    </xf>
    <xf numFmtId="0" fontId="9" fillId="4" borderId="1" applyAlignment="1" pivotButton="0" quotePrefix="0" xfId="0">
      <alignment vertical="center" wrapText="1"/>
    </xf>
    <xf numFmtId="0" fontId="6" fillId="5" borderId="1" applyAlignment="1" pivotButton="0" quotePrefix="0" xfId="0">
      <alignment vertical="center" wrapText="1"/>
    </xf>
    <xf numFmtId="164" fontId="7" fillId="5" borderId="1" applyAlignment="1" pivotButton="0" quotePrefix="0" xfId="0">
      <alignment vertical="center" wrapText="1"/>
    </xf>
    <xf numFmtId="165" fontId="10" fillId="5" borderId="1" applyAlignment="1" pivotButton="0" quotePrefix="0" xfId="0">
      <alignment vertical="center" wrapText="1"/>
    </xf>
    <xf numFmtId="165" fontId="8" fillId="5" borderId="1" applyAlignment="1" pivotButton="0" quotePrefix="0" xfId="0">
      <alignment vertical="center" wrapText="1"/>
    </xf>
    <xf numFmtId="0" fontId="9" fillId="5" borderId="1" applyAlignment="1" pivotButton="0" quotePrefix="0" xfId="0">
      <alignment vertical="center" wrapText="1"/>
    </xf>
    <xf numFmtId="165" fontId="10" fillId="4" borderId="1" applyAlignment="1" pivotButton="0" quotePrefix="0" xfId="0">
      <alignment vertical="center" wrapText="1"/>
    </xf>
    <xf numFmtId="165" fontId="7" fillId="5" borderId="1" applyAlignment="1" pivotButton="0" quotePrefix="0" xfId="0">
      <alignment vertical="center" wrapText="1"/>
    </xf>
    <xf numFmtId="0" fontId="0" fillId="0" borderId="5" pivotButton="0" quotePrefix="0" xfId="0"/>
    <xf numFmtId="0" fontId="0" fillId="0" borderId="6" pivotButton="0" quotePrefix="0" xfId="0"/>
    <xf numFmtId="0" fontId="8" fillId="4" borderId="1" applyAlignment="1" pivotButton="0" quotePrefix="0" xfId="0">
      <alignment vertical="center" wrapText="1"/>
    </xf>
    <xf numFmtId="166" fontId="10" fillId="4" borderId="1" applyAlignment="1" pivotButton="0" quotePrefix="0" xfId="0">
      <alignment vertical="center" wrapText="1"/>
    </xf>
    <xf numFmtId="0" fontId="8" fillId="5" borderId="1" applyAlignment="1" pivotButton="0" quotePrefix="0" xfId="0">
      <alignment vertical="center" wrapText="1"/>
    </xf>
    <xf numFmtId="166" fontId="10" fillId="5" borderId="1" applyAlignment="1" pivotButton="0" quotePrefix="0" xfId="0">
      <alignment vertical="center" wrapText="1"/>
    </xf>
    <xf numFmtId="3" fontId="7" fillId="4" borderId="1" applyAlignment="1" pivotButton="0" quotePrefix="0" xfId="0">
      <alignment vertical="center" wrapText="1"/>
    </xf>
    <xf numFmtId="3" fontId="7" fillId="5" borderId="1" applyAlignment="1" pivotButton="0" quotePrefix="0" xfId="0">
      <alignment vertical="center" wrapText="1"/>
    </xf>
    <xf numFmtId="166" fontId="7" fillId="4" borderId="1" applyAlignment="1" pivotButton="0" quotePrefix="0" xfId="0">
      <alignment vertical="center" wrapText="1"/>
    </xf>
    <xf numFmtId="0" fontId="11" fillId="0" borderId="2" applyAlignment="1" pivotButton="0" quotePrefix="0" xfId="0">
      <alignment vertical="center" wrapText="1"/>
    </xf>
    <xf numFmtId="3" fontId="12" fillId="4" borderId="1" applyAlignment="1" pivotButton="0" quotePrefix="0" xfId="0">
      <alignment vertical="center" wrapText="1"/>
    </xf>
    <xf numFmtId="164" fontId="12" fillId="4" borderId="1" applyAlignment="1" pivotButton="0" quotePrefix="0" xfId="0">
      <alignment vertical="center" wrapText="1"/>
    </xf>
    <xf numFmtId="165" fontId="12" fillId="4" borderId="1" applyAlignment="1" pivotButton="0" quotePrefix="0" xfId="0">
      <alignment vertical="center" wrapText="1"/>
    </xf>
    <xf numFmtId="164" fontId="8" fillId="4" borderId="1" applyAlignment="1" pivotButton="0" quotePrefix="0" xfId="0">
      <alignment vertical="center" wrapText="1"/>
    </xf>
    <xf numFmtId="164" fontId="6" fillId="4" borderId="1" applyAlignment="1" pivotButton="0" quotePrefix="0" xfId="0">
      <alignment vertical="center" wrapText="1"/>
    </xf>
    <xf numFmtId="166" fontId="8" fillId="4" borderId="1" applyAlignment="1" pivotButton="0" quotePrefix="0" xfId="0">
      <alignment vertical="center" wrapText="1"/>
    </xf>
    <xf numFmtId="3" fontId="12" fillId="5" borderId="1" applyAlignment="1" pivotButton="0" quotePrefix="0" xfId="0">
      <alignment vertical="center" wrapText="1"/>
    </xf>
    <xf numFmtId="164" fontId="12" fillId="5" borderId="1" applyAlignment="1" pivotButton="0" quotePrefix="0" xfId="0">
      <alignment vertical="center" wrapText="1"/>
    </xf>
    <xf numFmtId="165" fontId="12" fillId="5" borderId="1" applyAlignment="1" pivotButton="0" quotePrefix="0" xfId="0">
      <alignment vertical="center" wrapText="1"/>
    </xf>
    <xf numFmtId="164" fontId="8" fillId="5" borderId="1" applyAlignment="1" pivotButton="0" quotePrefix="0" xfId="0">
      <alignment vertical="center" wrapText="1"/>
    </xf>
    <xf numFmtId="164" fontId="6" fillId="5" borderId="1" applyAlignment="1" pivotButton="0" quotePrefix="0" xfId="0">
      <alignment vertical="center" wrapText="1"/>
    </xf>
    <xf numFmtId="166" fontId="8" fillId="5" borderId="1" applyAlignment="1" pivotButton="0" quotePrefix="0" xfId="0">
      <alignment vertical="center" wrapText="1"/>
    </xf>
    <xf numFmtId="3" fontId="5" fillId="3" borderId="1" applyAlignment="1" pivotButton="0" quotePrefix="0" xfId="0">
      <alignment vertical="center" wrapText="1"/>
    </xf>
    <xf numFmtId="0" fontId="0" fillId="3" borderId="1" pivotButton="0" quotePrefix="0" xfId="0"/>
    <xf numFmtId="164" fontId="5" fillId="3" borderId="1" applyAlignment="1" pivotButton="0" quotePrefix="0" xfId="0">
      <alignment vertical="center" wrapText="1"/>
    </xf>
    <xf numFmtId="166" fontId="5" fillId="3" borderId="1" applyAlignment="1" pivotButton="0" quotePrefix="0" xfId="0">
      <alignment vertical="center" wrapText="1"/>
    </xf>
    <xf numFmtId="0" fontId="4" fillId="5" borderId="0" applyAlignment="1" pivotButton="0" quotePrefix="0" xfId="0">
      <alignment vertical="center" indent="1"/>
    </xf>
    <xf numFmtId="0" fontId="5" fillId="6" borderId="1" applyAlignment="1" pivotButton="0" quotePrefix="0" xfId="0">
      <alignment vertical="center" wrapText="1"/>
    </xf>
    <xf numFmtId="164" fontId="13" fillId="4" borderId="1" applyAlignment="1" pivotButton="0" quotePrefix="0" xfId="0">
      <alignment vertical="center" wrapText="1"/>
    </xf>
    <xf numFmtId="166" fontId="6" fillId="4" borderId="1" applyAlignment="1" pivotButton="0" quotePrefix="0" xfId="0">
      <alignment vertical="center" wrapText="1"/>
    </xf>
    <xf numFmtId="164" fontId="13" fillId="5" borderId="1" applyAlignment="1" pivotButton="0" quotePrefix="0" xfId="0">
      <alignment vertical="center" wrapText="1"/>
    </xf>
    <xf numFmtId="166" fontId="6" fillId="5" borderId="1" applyAlignment="1" pivotButton="0" quotePrefix="0" xfId="0">
      <alignment vertical="center" wrapText="1"/>
    </xf>
    <xf numFmtId="166" fontId="7" fillId="5" borderId="1" applyAlignment="1" pivotButton="0" quotePrefix="0" xfId="0">
      <alignment vertical="center" wrapText="1"/>
    </xf>
    <xf numFmtId="0" fontId="14" fillId="4" borderId="1" applyAlignment="1" pivotButton="0" quotePrefix="0" xfId="0">
      <alignment vertical="center" wrapText="1"/>
    </xf>
    <xf numFmtId="0" fontId="3" fillId="0" borderId="1" applyAlignment="1" pivotButton="0" quotePrefix="0" xfId="0">
      <alignment vertical="center" wrapText="1"/>
    </xf>
    <xf numFmtId="0" fontId="15" fillId="0" borderId="0" applyAlignment="1" pivotButton="0" quotePrefix="0" xfId="0">
      <alignment vertical="center"/>
    </xf>
    <xf numFmtId="0" fontId="16" fillId="0" borderId="0" pivotButton="0" quotePrefix="0" xfId="0"/>
    <xf numFmtId="0" fontId="17" fillId="3" borderId="1" applyAlignment="1" pivotButton="0" quotePrefix="0" xfId="0">
      <alignment vertical="center" indent="1"/>
    </xf>
    <xf numFmtId="0" fontId="0" fillId="0" borderId="1" pivotButton="0" quotePrefix="0" xfId="0"/>
    <xf numFmtId="0" fontId="17" fillId="7" borderId="1" applyAlignment="1" pivotButton="0" quotePrefix="0" xfId="0">
      <alignment vertical="center" indent="1"/>
    </xf>
    <xf numFmtId="0" fontId="17" fillId="8" borderId="1" applyAlignment="1" pivotButton="0" quotePrefix="0" xfId="0">
      <alignment vertical="center" indent="1"/>
    </xf>
    <xf numFmtId="164" fontId="18" fillId="4" borderId="1" applyAlignment="1" pivotButton="0" quotePrefix="0" xfId="0">
      <alignment horizontal="center" vertical="center"/>
    </xf>
    <xf numFmtId="166" fontId="18" fillId="4" borderId="1" applyAlignment="1" pivotButton="0" quotePrefix="0" xfId="0">
      <alignment horizontal="center" vertical="center"/>
    </xf>
    <xf numFmtId="0" fontId="13" fillId="4" borderId="1" applyAlignment="1" pivotButton="0" quotePrefix="0" xfId="0">
      <alignment vertical="center" wrapText="1"/>
    </xf>
    <xf numFmtId="166" fontId="13" fillId="4" borderId="1" applyAlignment="1" pivotButton="0" quotePrefix="0" xfId="0">
      <alignment vertical="center" wrapText="1"/>
    </xf>
    <xf numFmtId="0" fontId="13" fillId="5" borderId="1" applyAlignment="1" pivotButton="0" quotePrefix="0" xfId="0">
      <alignment vertical="center" wrapText="1"/>
    </xf>
    <xf numFmtId="166" fontId="13" fillId="5" borderId="1" applyAlignment="1" pivotButton="0" quotePrefix="0" xfId="0">
      <alignment vertical="center" wrapText="1"/>
    </xf>
    <xf numFmtId="0" fontId="19" fillId="2" borderId="0" applyAlignment="1" pivotButton="0" quotePrefix="0" xfId="0">
      <alignmen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Revenue vs. net profit — Year 2 channel strategy</a:t>
            </a:r>
          </a:p>
        </rich>
      </tx>
    </title>
    <plotArea>
      <barChart>
        <barDir val="col"/>
        <grouping val="clustered"/>
        <ser>
          <idx val="0"/>
          <order val="0"/>
          <tx>
            <strRef>
              <f>'Dashboard'!C11</f>
            </strRef>
          </tx>
          <spPr>
            <a:solidFill xmlns:a="http://schemas.openxmlformats.org/drawingml/2006/main">
              <a:srgbClr val="0E88AB"/>
            </a:solidFill>
            <a:ln xmlns:a="http://schemas.openxmlformats.org/drawingml/2006/main">
              <a:prstDash val="solid"/>
            </a:ln>
          </spPr>
          <cat>
            <numRef>
              <f>'Dashboard'!$B$12:$B$14</f>
            </numRef>
          </cat>
          <val>
            <numRef>
              <f>'Dashboard'!$C$12:$C$14</f>
            </numRef>
          </val>
        </ser>
        <ser>
          <idx val="1"/>
          <order val="1"/>
          <tx>
            <strRef>
              <f>'Dashboard'!D11</f>
            </strRef>
          </tx>
          <spPr>
            <a:solidFill xmlns:a="http://schemas.openxmlformats.org/drawingml/2006/main">
              <a:srgbClr val="C9531F"/>
            </a:solidFill>
            <a:ln xmlns:a="http://schemas.openxmlformats.org/drawingml/2006/main">
              <a:prstDash val="solid"/>
            </a:ln>
          </spPr>
          <cat>
            <numRef>
              <f>'Dashboard'!$B$12:$B$14</f>
            </numRef>
          </cat>
          <val>
            <numRef>
              <f>'Dashboard'!$D$12:$D$14</f>
            </numRef>
          </val>
        </ser>
        <gapWidth val="6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col>
      <colOff>0</colOff>
      <row>16</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30"/>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6" customWidth="1" min="3" max="3"/>
    <col width="14" customWidth="1" min="4" max="4"/>
    <col width="17" customWidth="1" min="5" max="5"/>
    <col width="52" customWidth="1" min="6" max="6"/>
  </cols>
  <sheetData>
    <row r="1" ht="22" customHeight="1">
      <c r="A1" s="1" t="inlineStr">
        <is>
          <t>HydroWarm — Financial Model</t>
        </is>
      </c>
    </row>
    <row r="2" ht="18" customHeight="1">
      <c r="A2" s="2" t="inlineStr">
        <is>
          <t>Assumptions</t>
        </is>
      </c>
    </row>
    <row r="3">
      <c r="A3" s="3" t="inlineStr">
        <is>
          <t>Blue = input, edit freely.   Black = formula, don't overwrite.   Green (on other tabs) = link from this sheet.   Grey italic notes = estimate, not from the source handover — validate before relying on it.</t>
        </is>
      </c>
    </row>
    <row r="5" ht="22" customHeight="1">
      <c r="A5" s="4" t="inlineStr">
        <is>
          <t>1.  Product economics</t>
        </is>
      </c>
    </row>
    <row r="6" ht="28" customHeight="1">
      <c r="A6" s="5" t="inlineStr">
        <is>
          <t>Product</t>
        </is>
      </c>
      <c r="B6" s="5" t="inlineStr">
        <is>
          <t>Retail price (€)</t>
        </is>
      </c>
      <c r="C6" s="5" t="inlineStr">
        <is>
          <t>COGS – China (€)</t>
        </is>
      </c>
      <c r="D6" s="5" t="inlineStr">
        <is>
          <t>COGS – EU (€)</t>
        </is>
      </c>
      <c r="E6" s="5" t="inlineStr">
        <is>
          <t>Wholesale price (€)</t>
        </is>
      </c>
      <c r="F6" s="5" t="inlineStr">
        <is>
          <t>Notes</t>
        </is>
      </c>
    </row>
    <row r="7">
      <c r="A7" s="6" t="inlineStr">
        <is>
          <t>Comfort</t>
        </is>
      </c>
      <c r="B7" s="7" t="n">
        <v>36</v>
      </c>
      <c r="C7" s="8" t="n">
        <v>13</v>
      </c>
      <c r="D7" s="8" t="n"/>
      <c r="E7" s="9">
        <f>B7*(1-$B$17)</f>
        <v/>
      </c>
      <c r="F7" s="10" t="inlineStr">
        <is>
          <t>Retail: midpoint of €34–39 (handover). COGS: midpoint of €11–15 China-track (handover).</t>
        </is>
      </c>
    </row>
    <row r="8">
      <c r="A8" s="11" t="inlineStr">
        <is>
          <t>Charge Single</t>
        </is>
      </c>
      <c r="B8" s="12" t="n">
        <v>59</v>
      </c>
      <c r="C8" s="13" t="n">
        <v>18</v>
      </c>
      <c r="D8" s="13" t="n"/>
      <c r="E8" s="14">
        <f>B8*(1-$B$17)</f>
        <v/>
      </c>
      <c r="F8" s="15" t="inlineStr">
        <is>
          <t>Retail locked (handover). COGS: ESTIMATE — not yet quoted (Charge Factory Spec v1.0); placeholder scaled up from Comfort.</t>
        </is>
      </c>
    </row>
    <row r="9">
      <c r="A9" s="6" t="inlineStr">
        <is>
          <t>Charge Double</t>
        </is>
      </c>
      <c r="B9" s="7" t="n">
        <v>69</v>
      </c>
      <c r="C9" s="16" t="n">
        <v>21</v>
      </c>
      <c r="D9" s="16" t="n"/>
      <c r="E9" s="9">
        <f>B9*(1-$B$17)</f>
        <v/>
      </c>
      <c r="F9" s="10" t="inlineStr">
        <is>
          <t>Retail locked (handover). COGS: ESTIMATE — not yet quoted; placeholder scaled from Charge Single.</t>
        </is>
      </c>
    </row>
    <row r="10">
      <c r="A10" s="11" t="inlineStr">
        <is>
          <t>Boot Standard</t>
        </is>
      </c>
      <c r="B10" s="12" t="n">
        <v>39</v>
      </c>
      <c r="C10" s="17" t="n">
        <v>9.5</v>
      </c>
      <c r="D10" s="17" t="n">
        <v>24</v>
      </c>
      <c r="E10" s="14">
        <f>B10*(1-$B$17)</f>
        <v/>
      </c>
      <c r="F10" s="15" t="inlineStr">
        <is>
          <t>Retail + both COGS tracks from handover (China €7–12 mid; EU €20–28 mid).</t>
        </is>
      </c>
    </row>
    <row r="11">
      <c r="A11" s="6" t="inlineStr">
        <is>
          <t>Boot Pro</t>
        </is>
      </c>
      <c r="B11" s="7" t="n">
        <v>54</v>
      </c>
      <c r="C11" s="16" t="n">
        <v>11</v>
      </c>
      <c r="D11" s="16" t="n">
        <v>26</v>
      </c>
      <c r="E11" s="9">
        <f>B11*(1-$B$17)</f>
        <v/>
      </c>
      <c r="F11" s="10" t="inlineStr">
        <is>
          <t>Retail locked (handover). COGS: ESTIMATE — Standard + side-zipper premium; not itemised in source.</t>
        </is>
      </c>
    </row>
    <row r="12">
      <c r="A12" s="11" t="inlineStr">
        <is>
          <t>Neck Standard</t>
        </is>
      </c>
      <c r="B12" s="12" t="n">
        <v>34</v>
      </c>
      <c r="C12" s="13" t="n">
        <v>8</v>
      </c>
      <c r="D12" s="13" t="n">
        <v>18</v>
      </c>
      <c r="E12" s="14">
        <f>B12*(1-$B$17)</f>
        <v/>
      </c>
      <c r="F12" s="15" t="inlineStr">
        <is>
          <t>Retail locked (handover). COGS: ESTIMATE — simpler build than Boot (no grid sole); not itemised in source.</t>
        </is>
      </c>
    </row>
    <row r="13">
      <c r="A13" s="6" t="inlineStr">
        <is>
          <t>Cape</t>
        </is>
      </c>
      <c r="B13" s="7" t="n">
        <v>59</v>
      </c>
      <c r="C13" s="16" t="n">
        <v>13</v>
      </c>
      <c r="D13" s="16" t="n">
        <v>26</v>
      </c>
      <c r="E13" s="9">
        <f>B13*(1-$B$17)</f>
        <v/>
      </c>
      <c r="F13" s="10" t="inlineStr">
        <is>
          <t>Retail locked (handover). COGS: ESTIMATE — larger surface area than Neck; not itemised in source.</t>
        </is>
      </c>
    </row>
    <row r="15" ht="22" customHeight="1">
      <c r="A15" s="4" t="inlineStr">
        <is>
          <t>2.  Channel cost assumptions</t>
        </is>
      </c>
    </row>
    <row r="16" ht="20" customHeight="1">
      <c r="A16" s="5" t="inlineStr">
        <is>
          <t>Parameter</t>
        </is>
      </c>
      <c r="B16" s="5" t="inlineStr">
        <is>
          <t>Value</t>
        </is>
      </c>
      <c r="C16" s="5" t="inlineStr"/>
      <c r="D16" s="18" t="n"/>
      <c r="E16" s="19" t="n"/>
      <c r="F16" s="5" t="inlineStr">
        <is>
          <t>Notes</t>
        </is>
      </c>
    </row>
    <row r="17">
      <c r="A17" s="20" t="inlineStr">
        <is>
          <t>Partner wholesale discount off retail</t>
        </is>
      </c>
      <c r="B17" s="21" t="n">
        <v>0.65</v>
      </c>
      <c r="C17" s="20" t="inlineStr"/>
      <c r="F17" s="10" t="inlineStr">
        <is>
          <t>ESTIMATE — mass-retail wholesale discount typical of Action / B&amp;M / Lidl tier. Not itemised in source; adjust once partners quote real terms.</t>
        </is>
      </c>
    </row>
    <row r="18">
      <c r="A18" s="22" t="inlineStr">
        <is>
          <t>Direct payment processing fee (% of revenue)</t>
        </is>
      </c>
      <c r="B18" s="23" t="n">
        <v>0.03</v>
      </c>
      <c r="C18" s="22" t="inlineStr"/>
      <c r="F18" s="15" t="inlineStr">
        <is>
          <t>ESTIMATE — typical EU card/marketplace processing (Stripe, Adyen, Bol.com / Amazon referral fee blend).</t>
        </is>
      </c>
    </row>
    <row r="19">
      <c r="A19" s="20" t="inlineStr">
        <is>
          <t>Direct fulfillment cost per unit (€)</t>
        </is>
      </c>
      <c r="B19" s="16" t="n">
        <v>2</v>
      </c>
      <c r="C19" s="20" t="inlineStr"/>
      <c r="F19" s="10" t="inlineStr">
        <is>
          <t>ESTIMATE — pick/pack/ship within NL/EU.</t>
        </is>
      </c>
    </row>
    <row r="20">
      <c r="A20" s="22" t="inlineStr">
        <is>
          <t>Direct marketing spend (% of revenue)</t>
        </is>
      </c>
      <c r="B20" s="23" t="n">
        <v>0.05</v>
      </c>
      <c r="C20" s="22" t="inlineStr"/>
      <c r="F20" s="15" t="inlineStr">
        <is>
          <t>ESTIMATE — paid acquisition + content, direct channel only. Partners market their own shelf space.</t>
        </is>
      </c>
    </row>
    <row r="21">
      <c r="A21" s="20" t="inlineStr">
        <is>
          <t>Partner distributor commission (% of wholesale revenue)</t>
        </is>
      </c>
      <c r="B21" s="21" t="n">
        <v>0.08</v>
      </c>
      <c r="C21" s="20" t="inlineStr"/>
      <c r="F21" s="10" t="inlineStr">
        <is>
          <t>ESTIMATE — ConnaBride-style distribution commission.</t>
        </is>
      </c>
    </row>
    <row r="22">
      <c r="A22" s="22" t="inlineStr">
        <is>
          <t>Partner logistics cost per unit (€)</t>
        </is>
      </c>
      <c r="B22" s="13" t="n">
        <v>1.5</v>
      </c>
      <c r="C22" s="22" t="inlineStr"/>
      <c r="F22" s="15" t="inlineStr">
        <is>
          <t>ESTIMATE — bulk pallet shipping to distributor/retailer DC, cheaper per-unit than direct-to-consumer.</t>
        </is>
      </c>
    </row>
    <row r="24" ht="22" customHeight="1">
      <c r="A24" s="4" t="inlineStr">
        <is>
          <t>3.  Scenario volumes</t>
        </is>
      </c>
    </row>
    <row r="25" ht="20" customHeight="1">
      <c r="A25" s="5" t="inlineStr">
        <is>
          <t>Parameter</t>
        </is>
      </c>
      <c r="B25" s="5" t="inlineStr">
        <is>
          <t>Value</t>
        </is>
      </c>
      <c r="C25" s="5" t="n"/>
      <c r="D25" s="18" t="n"/>
      <c r="E25" s="19" t="n"/>
      <c r="F25" s="5" t="inlineStr">
        <is>
          <t>Notes</t>
        </is>
      </c>
    </row>
    <row r="26">
      <c r="A26" s="20" t="inlineStr">
        <is>
          <t>Boot Standard units — Year 2 scenario</t>
        </is>
      </c>
      <c r="B26" s="24" t="n">
        <v>20000</v>
      </c>
      <c r="C26" s="20" t="inlineStr"/>
      <c r="F26" s="10" t="inlineStr">
        <is>
          <t>Source: handover Section 10 ("20,000 boots").</t>
        </is>
      </c>
    </row>
    <row r="27">
      <c r="A27" s="22" t="inlineStr">
        <is>
          <t>Neck Standard units — Year 2 scenario</t>
        </is>
      </c>
      <c r="B27" s="25" t="n">
        <v>20000</v>
      </c>
      <c r="C27" s="22" t="inlineStr"/>
      <c r="F27" s="15" t="inlineStr">
        <is>
          <t>Source: handover Section 10 ("20,000 necks").</t>
        </is>
      </c>
    </row>
    <row r="28">
      <c r="A28" s="20" t="inlineStr">
        <is>
          <t>Comfort units — Year 1, direct only</t>
        </is>
      </c>
      <c r="B28" s="24" t="n">
        <v>1000</v>
      </c>
      <c r="C28" s="20" t="inlineStr"/>
      <c r="F28" s="10" t="inlineStr">
        <is>
          <t>Source: handover Section 10.</t>
        </is>
      </c>
    </row>
    <row r="29">
      <c r="A29" s="22" t="inlineStr">
        <is>
          <t>Comfort units — break-even</t>
        </is>
      </c>
      <c r="B29" s="25" t="n">
        <v>228</v>
      </c>
      <c r="C29" s="22" t="inlineStr"/>
      <c r="F29" s="15" t="inlineStr">
        <is>
          <t>Source: handover Section 10.</t>
        </is>
      </c>
    </row>
    <row r="30">
      <c r="A30" s="20" t="inlineStr">
        <is>
          <t>Mixed strategy — direct channel share</t>
        </is>
      </c>
      <c r="B30" s="26" t="n">
        <v>0.5</v>
      </c>
      <c r="C30" s="20" t="inlineStr"/>
      <c r="F30" s="10" t="inlineStr">
        <is>
          <t>Source: handover — recommended 50/50 direct/partner split for Year 2.</t>
        </is>
      </c>
    </row>
  </sheetData>
  <mergeCells count="19">
    <mergeCell ref="C16:E16"/>
    <mergeCell ref="C22:E22"/>
    <mergeCell ref="A3:F3"/>
    <mergeCell ref="C21:E21"/>
    <mergeCell ref="C27:E27"/>
    <mergeCell ref="A5:F5"/>
    <mergeCell ref="B25"/>
    <mergeCell ref="B16"/>
    <mergeCell ref="C17:E17"/>
    <mergeCell ref="C28:E28"/>
    <mergeCell ref="C19:E19"/>
    <mergeCell ref="C18:E18"/>
    <mergeCell ref="C30:E30"/>
    <mergeCell ref="A15:F15"/>
    <mergeCell ref="A24:F24"/>
    <mergeCell ref="C26:E26"/>
    <mergeCell ref="C29:E29"/>
    <mergeCell ref="C20:E20"/>
    <mergeCell ref="C25:E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
  <sheetViews>
    <sheetView showGridLines="0" workbookViewId="0">
      <pane ySplit="4" topLeftCell="A5" activePane="bottomLeft" state="frozen"/>
      <selection pane="bottomLeft" activeCell="A1" sqref="A1"/>
    </sheetView>
  </sheetViews>
  <sheetFormatPr baseColWidth="8" defaultRowHeight="15"/>
  <cols>
    <col width="30" customWidth="1" min="1" max="1"/>
    <col width="11" customWidth="1" min="2" max="2"/>
    <col width="13" customWidth="1" min="3" max="3"/>
    <col width="14" customWidth="1" min="4" max="4"/>
    <col width="14" customWidth="1" min="5" max="5"/>
    <col width="13" customWidth="1" min="6" max="6"/>
    <col width="13" customWidth="1" min="7" max="7"/>
    <col width="13" customWidth="1" min="8" max="8"/>
    <col width="13" customWidth="1" min="9" max="9"/>
    <col width="14" customWidth="1" min="10" max="10"/>
    <col width="12" customWidth="1" min="11" max="11"/>
  </cols>
  <sheetData>
    <row r="1">
      <c r="A1" s="27" t="inlineStr">
        <is>
          <t>HydroWarm — Direct Channel</t>
        </is>
      </c>
    </row>
    <row r="2">
      <c r="A2" s="3" t="inlineStr">
        <is>
          <t>Revenue and profit sold direct-to-consumer (Bol.com, Amazon, own site) at full retail price.</t>
        </is>
      </c>
    </row>
    <row r="4" ht="30" customHeight="1">
      <c r="A4" s="5" t="inlineStr">
        <is>
          <t>Line item</t>
        </is>
      </c>
      <c r="B4" s="5" t="inlineStr">
        <is>
          <t>Units</t>
        </is>
      </c>
      <c r="C4" s="5" t="inlineStr">
        <is>
          <t>Retail price /unit (€)</t>
        </is>
      </c>
      <c r="D4" s="5" t="inlineStr">
        <is>
          <t>COGS /unit – China (€)</t>
        </is>
      </c>
      <c r="E4" s="5" t="inlineStr">
        <is>
          <t>Revenue (€)</t>
        </is>
      </c>
      <c r="F4" s="5" t="inlineStr">
        <is>
          <t>COGS (€)</t>
        </is>
      </c>
      <c r="G4" s="5" t="inlineStr">
        <is>
          <t>Payment fee (€)</t>
        </is>
      </c>
      <c r="H4" s="5" t="inlineStr">
        <is>
          <t>Fulfillment (€)</t>
        </is>
      </c>
      <c r="I4" s="5" t="inlineStr">
        <is>
          <t>Marketing (€)</t>
        </is>
      </c>
      <c r="J4" s="5" t="inlineStr">
        <is>
          <t>Net profit (€)</t>
        </is>
      </c>
      <c r="K4" s="5" t="inlineStr">
        <is>
          <t>Net margin (%)</t>
        </is>
      </c>
    </row>
    <row r="5">
      <c r="A5" s="6" t="inlineStr">
        <is>
          <t>Boot Standard — Year 2</t>
        </is>
      </c>
      <c r="B5" s="28">
        <f>Assumptions!$B$26</f>
        <v/>
      </c>
      <c r="C5" s="29">
        <f>Assumptions!$B$10</f>
        <v/>
      </c>
      <c r="D5" s="30">
        <f>Assumptions!$C$10</f>
        <v/>
      </c>
      <c r="E5" s="31">
        <f>B5*C5</f>
        <v/>
      </c>
      <c r="F5" s="31">
        <f>B5*D5</f>
        <v/>
      </c>
      <c r="G5" s="31">
        <f>E5*Assumptions!$B$18</f>
        <v/>
      </c>
      <c r="H5" s="31">
        <f>B5*Assumptions!$B$19</f>
        <v/>
      </c>
      <c r="I5" s="31">
        <f>E5*Assumptions!$B$20</f>
        <v/>
      </c>
      <c r="J5" s="32">
        <f>E5-SUM(F5:I5)</f>
        <v/>
      </c>
      <c r="K5" s="33">
        <f>IFERROR(J5/E5,0)</f>
        <v/>
      </c>
    </row>
    <row r="6">
      <c r="A6" s="11" t="inlineStr">
        <is>
          <t>Neck Standard — Year 2</t>
        </is>
      </c>
      <c r="B6" s="34">
        <f>Assumptions!$B$27</f>
        <v/>
      </c>
      <c r="C6" s="35">
        <f>Assumptions!$B$12</f>
        <v/>
      </c>
      <c r="D6" s="36">
        <f>Assumptions!$C$12</f>
        <v/>
      </c>
      <c r="E6" s="37">
        <f>B6*C6</f>
        <v/>
      </c>
      <c r="F6" s="37">
        <f>B6*D6</f>
        <v/>
      </c>
      <c r="G6" s="37">
        <f>E6*Assumptions!$B$18</f>
        <v/>
      </c>
      <c r="H6" s="37">
        <f>B6*Assumptions!$B$19</f>
        <v/>
      </c>
      <c r="I6" s="37">
        <f>E6*Assumptions!$B$20</f>
        <v/>
      </c>
      <c r="J6" s="38">
        <f>E6-SUM(F6:I6)</f>
        <v/>
      </c>
      <c r="K6" s="39">
        <f>IFERROR(J6/E6,0)</f>
        <v/>
      </c>
    </row>
    <row r="7" ht="20" customHeight="1">
      <c r="A7" s="5" t="inlineStr">
        <is>
          <t>Subtotal — Year 2 (Boot + Neck, 40,000 units)</t>
        </is>
      </c>
      <c r="B7" s="40">
        <f>SUM(B5:B6)</f>
        <v/>
      </c>
      <c r="C7" s="41" t="n"/>
      <c r="D7" s="41" t="n"/>
      <c r="E7" s="42">
        <f>SUM(E5:E6)</f>
        <v/>
      </c>
      <c r="F7" s="42">
        <f>SUM(F5:F6)</f>
        <v/>
      </c>
      <c r="G7" s="42">
        <f>SUM(G5:G6)</f>
        <v/>
      </c>
      <c r="H7" s="42">
        <f>SUM(H5:H6)</f>
        <v/>
      </c>
      <c r="I7" s="42">
        <f>SUM(I5:I6)</f>
        <v/>
      </c>
      <c r="J7" s="42">
        <f>SUM(J5:J6)</f>
        <v/>
      </c>
      <c r="K7" s="43">
        <f>IFERROR(J7/E7,0)</f>
        <v/>
      </c>
    </row>
    <row r="9" ht="22" customHeight="1">
      <c r="A9" s="4" t="inlineStr">
        <is>
          <t>Comfort milestones (direct only)</t>
        </is>
      </c>
    </row>
    <row r="10">
      <c r="A10" s="6" t="inlineStr">
        <is>
          <t>Comfort — Year 1 (direct only)</t>
        </is>
      </c>
      <c r="B10" s="28">
        <f>Assumptions!$B$28</f>
        <v/>
      </c>
      <c r="C10" s="29">
        <f>Assumptions!$B$7</f>
        <v/>
      </c>
      <c r="D10" s="30">
        <f>Assumptions!$C$7</f>
        <v/>
      </c>
      <c r="E10" s="31">
        <f>B10*C10</f>
        <v/>
      </c>
      <c r="F10" s="31">
        <f>B10*D10</f>
        <v/>
      </c>
      <c r="G10" s="31">
        <f>E10*Assumptions!$B$18</f>
        <v/>
      </c>
      <c r="H10" s="31">
        <f>B10*Assumptions!$B$19</f>
        <v/>
      </c>
      <c r="I10" s="31">
        <f>E10*Assumptions!$B$20</f>
        <v/>
      </c>
      <c r="J10" s="32">
        <f>E10-SUM(F10:I10)</f>
        <v/>
      </c>
      <c r="K10" s="33">
        <f>IFERROR(J10/E10,0)</f>
        <v/>
      </c>
    </row>
    <row r="11">
      <c r="A11" s="11" t="inlineStr">
        <is>
          <t>Comfort — break-even</t>
        </is>
      </c>
      <c r="B11" s="34">
        <f>Assumptions!$B$29</f>
        <v/>
      </c>
      <c r="C11" s="35">
        <f>Assumptions!$B$7</f>
        <v/>
      </c>
      <c r="D11" s="36">
        <f>Assumptions!$C$7</f>
        <v/>
      </c>
      <c r="E11" s="37">
        <f>B11*C11</f>
        <v/>
      </c>
      <c r="F11" s="37">
        <f>B11*D11</f>
        <v/>
      </c>
      <c r="G11" s="37">
        <f>E11*Assumptions!$B$18</f>
        <v/>
      </c>
      <c r="H11" s="37">
        <f>B11*Assumptions!$B$19</f>
        <v/>
      </c>
      <c r="I11" s="37">
        <f>E11*Assumptions!$B$20</f>
        <v/>
      </c>
      <c r="J11" s="38">
        <f>E11-SUM(F11:I11)</f>
        <v/>
      </c>
      <c r="K11" s="39">
        <f>IFERROR(J11/E11,0)</f>
        <v/>
      </c>
    </row>
  </sheetData>
  <mergeCells count="2">
    <mergeCell ref="A2:K2"/>
    <mergeCell ref="A9:K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7"/>
  <sheetViews>
    <sheetView showGridLines="0" workbookViewId="0">
      <pane ySplit="4" topLeftCell="A5" activePane="bottomLeft" state="frozen"/>
      <selection pane="bottomLeft" activeCell="A1" sqref="A1"/>
    </sheetView>
  </sheetViews>
  <sheetFormatPr baseColWidth="8" defaultRowHeight="15"/>
  <cols>
    <col width="30" customWidth="1" min="1" max="1"/>
    <col width="11" customWidth="1" min="2" max="2"/>
    <col width="15" customWidth="1" min="3" max="3"/>
    <col width="14" customWidth="1" min="4" max="4"/>
    <col width="14" customWidth="1" min="5" max="5"/>
    <col width="13" customWidth="1" min="6" max="6"/>
    <col width="16" customWidth="1" min="7" max="7"/>
    <col width="13" customWidth="1" min="8" max="8"/>
    <col width="13" customWidth="1" min="9" max="9"/>
    <col width="14" customWidth="1" min="10" max="10"/>
    <col width="12" customWidth="1" min="11" max="11"/>
  </cols>
  <sheetData>
    <row r="1">
      <c r="A1" s="27" t="inlineStr">
        <is>
          <t>HydroWarm — Partner Channels</t>
        </is>
      </c>
    </row>
    <row r="2">
      <c r="A2" s="3" t="inlineStr">
        <is>
          <t>Revenue and profit sold wholesale through retail partners (Action, B&amp;M, Lidl via ConnaBride, Decathlon).</t>
        </is>
      </c>
    </row>
    <row r="4" ht="30" customHeight="1">
      <c r="A4" s="5" t="inlineStr">
        <is>
          <t>Line item</t>
        </is>
      </c>
      <c r="B4" s="5" t="inlineStr">
        <is>
          <t>Units</t>
        </is>
      </c>
      <c r="C4" s="5" t="inlineStr">
        <is>
          <t>Wholesale price /unit (€)</t>
        </is>
      </c>
      <c r="D4" s="5" t="inlineStr">
        <is>
          <t>COGS /unit – China (€)</t>
        </is>
      </c>
      <c r="E4" s="5" t="inlineStr">
        <is>
          <t>Revenue (€)</t>
        </is>
      </c>
      <c r="F4" s="5" t="inlineStr">
        <is>
          <t>COGS (€)</t>
        </is>
      </c>
      <c r="G4" s="5" t="inlineStr">
        <is>
          <t>Distributor commission (€)</t>
        </is>
      </c>
      <c r="H4" s="5" t="inlineStr">
        <is>
          <t>Logistics (€)</t>
        </is>
      </c>
      <c r="I4" s="5" t="inlineStr">
        <is>
          <t>Total cost (€)</t>
        </is>
      </c>
      <c r="J4" s="5" t="inlineStr">
        <is>
          <t>Net profit (€)</t>
        </is>
      </c>
      <c r="K4" s="5" t="inlineStr">
        <is>
          <t>Net margin (%)</t>
        </is>
      </c>
    </row>
    <row r="5">
      <c r="A5" s="6" t="inlineStr">
        <is>
          <t>Boot Standard — Year 2</t>
        </is>
      </c>
      <c r="B5" s="28">
        <f>Assumptions!$B$26</f>
        <v/>
      </c>
      <c r="C5" s="30">
        <f>Assumptions!$E$10</f>
        <v/>
      </c>
      <c r="D5" s="30">
        <f>Assumptions!$C$10</f>
        <v/>
      </c>
      <c r="E5" s="31">
        <f>B5*C5</f>
        <v/>
      </c>
      <c r="F5" s="31">
        <f>B5*D5</f>
        <v/>
      </c>
      <c r="G5" s="31">
        <f>E5*Assumptions!$B$21</f>
        <v/>
      </c>
      <c r="H5" s="31">
        <f>B5*Assumptions!$B$22</f>
        <v/>
      </c>
      <c r="I5" s="31">
        <f>SUM(F5:H5)</f>
        <v/>
      </c>
      <c r="J5" s="32">
        <f>E5-I5</f>
        <v/>
      </c>
      <c r="K5" s="33">
        <f>IFERROR(J5/E5,0)</f>
        <v/>
      </c>
    </row>
    <row r="6">
      <c r="A6" s="11" t="inlineStr">
        <is>
          <t>Neck Standard — Year 2</t>
        </is>
      </c>
      <c r="B6" s="34">
        <f>Assumptions!$B$27</f>
        <v/>
      </c>
      <c r="C6" s="36">
        <f>Assumptions!$E$12</f>
        <v/>
      </c>
      <c r="D6" s="36">
        <f>Assumptions!$C$12</f>
        <v/>
      </c>
      <c r="E6" s="37">
        <f>B6*C6</f>
        <v/>
      </c>
      <c r="F6" s="37">
        <f>B6*D6</f>
        <v/>
      </c>
      <c r="G6" s="37">
        <f>E6*Assumptions!$B$21</f>
        <v/>
      </c>
      <c r="H6" s="37">
        <f>B6*Assumptions!$B$22</f>
        <v/>
      </c>
      <c r="I6" s="37">
        <f>SUM(F6:H6)</f>
        <v/>
      </c>
      <c r="J6" s="38">
        <f>E6-I6</f>
        <v/>
      </c>
      <c r="K6" s="39">
        <f>IFERROR(J6/E6,0)</f>
        <v/>
      </c>
    </row>
    <row r="7" ht="20" customHeight="1">
      <c r="A7" s="5" t="inlineStr">
        <is>
          <t>Subtotal — Year 2 (Boot + Neck, 40,000 units)</t>
        </is>
      </c>
      <c r="B7" s="40">
        <f>SUM(B5:B6)</f>
        <v/>
      </c>
      <c r="C7" s="41" t="n"/>
      <c r="D7" s="41" t="n"/>
      <c r="E7" s="42">
        <f>SUM(E5:E6)</f>
        <v/>
      </c>
      <c r="F7" s="42">
        <f>SUM(F5:F6)</f>
        <v/>
      </c>
      <c r="G7" s="42">
        <f>SUM(G5:G6)</f>
        <v/>
      </c>
      <c r="H7" s="42">
        <f>SUM(H5:H6)</f>
        <v/>
      </c>
      <c r="I7" s="42">
        <f>SUM(I5:I6)</f>
        <v/>
      </c>
      <c r="J7" s="42">
        <f>SUM(J5:J6)</f>
        <v/>
      </c>
      <c r="K7" s="43">
        <f>IFERROR(J7/E7,0)</f>
        <v/>
      </c>
    </row>
  </sheetData>
  <mergeCells count="1">
    <mergeCell ref="A2:K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3"/>
  <sheetViews>
    <sheetView showGridLines="0" workbookViewId="0">
      <pane ySplit="5" topLeftCell="A6" activePane="bottomLeft" state="frozen"/>
      <selection pane="bottomLeft" activeCell="A1" sqref="A1"/>
    </sheetView>
  </sheetViews>
  <sheetFormatPr baseColWidth="8" defaultRowHeight="15"/>
  <cols>
    <col width="34" customWidth="1" min="1" max="1"/>
    <col width="11" customWidth="1" min="2" max="2"/>
    <col width="14" customWidth="1" min="3" max="3"/>
    <col width="14" customWidth="1" min="4" max="4"/>
    <col width="12" customWidth="1" min="5" max="5"/>
    <col width="15" customWidth="1" min="6" max="6"/>
    <col width="15" customWidth="1" min="7" max="7"/>
    <col width="12" customWidth="1" min="8" max="8"/>
    <col width="40" customWidth="1" min="9" max="9"/>
  </cols>
  <sheetData>
    <row r="1">
      <c r="A1" s="27" t="inlineStr">
        <is>
          <t>HydroWarm — Scenario Comparison</t>
        </is>
      </c>
    </row>
    <row r="2">
      <c r="A2" s="3" t="inlineStr">
        <is>
          <t>Model output (from Assumptions) next to the figures stated in the July 2026 project handover, for a reality check while real channel costs are still being quoted.</t>
        </is>
      </c>
    </row>
    <row r="4" ht="4" customHeight="1">
      <c r="A4" s="44" t="inlineStr"/>
    </row>
    <row r="5" ht="26" customHeight="1">
      <c r="A5" s="5" t="inlineStr">
        <is>
          <t>Scenario</t>
        </is>
      </c>
      <c r="B5" s="5" t="inlineStr">
        <is>
          <t>Units</t>
        </is>
      </c>
      <c r="C5" s="5" t="inlineStr">
        <is>
          <t>Revenue (€)</t>
        </is>
      </c>
      <c r="D5" s="5" t="inlineStr">
        <is>
          <t>Net profit (€)</t>
        </is>
      </c>
      <c r="E5" s="5" t="inlineStr">
        <is>
          <t>Net margin (%)</t>
        </is>
      </c>
      <c r="F5" s="5" t="inlineStr">
        <is>
          <t>Handover figures (July 2026) — Revenue / Profit / Margin</t>
        </is>
      </c>
      <c r="G5" s="5" t="n"/>
      <c r="H5" s="5" t="n"/>
      <c r="I5" s="5" t="inlineStr">
        <is>
          <t>Notes</t>
        </is>
      </c>
    </row>
    <row r="6" ht="18" customHeight="1">
      <c r="A6" s="45" t="inlineStr"/>
      <c r="B6" s="45" t="inlineStr"/>
      <c r="C6" s="45" t="inlineStr"/>
      <c r="D6" s="45" t="inlineStr"/>
      <c r="E6" s="45" t="inlineStr"/>
      <c r="F6" s="45" t="inlineStr">
        <is>
          <t>Revenue (€)</t>
        </is>
      </c>
      <c r="G6" s="45" t="inlineStr">
        <is>
          <t>Profit (€)</t>
        </is>
      </c>
      <c r="H6" s="45" t="inlineStr">
        <is>
          <t>Margin (%)</t>
        </is>
      </c>
      <c r="I6" s="45" t="inlineStr"/>
    </row>
    <row r="7">
      <c r="A7" s="6" t="inlineStr">
        <is>
          <t>Break-even — Comfort</t>
        </is>
      </c>
      <c r="B7" s="28">
        <f>'Direct Channel'!$B$11</f>
        <v/>
      </c>
      <c r="C7" s="29">
        <f>'Direct Channel'!$E$11</f>
        <v/>
      </c>
      <c r="D7" s="46">
        <f>'Direct Channel'!$J$11</f>
        <v/>
      </c>
      <c r="E7" s="47">
        <f>IFERROR(D7/C7,0)</f>
        <v/>
      </c>
      <c r="F7" s="7" t="n">
        <v>8200</v>
      </c>
      <c r="G7" s="7" t="n">
        <v>0</v>
      </c>
      <c r="H7" s="26" t="n">
        <v>0</v>
      </c>
      <c r="I7" s="10" t="inlineStr">
        <is>
          <t>Direct channel only. Handover margin shown as 0% at this volume by definition (break-even).</t>
        </is>
      </c>
    </row>
    <row r="8">
      <c r="A8" s="11" t="inlineStr">
        <is>
          <t>Year 1 — Comfort, direct only</t>
        </is>
      </c>
      <c r="B8" s="34">
        <f>'Direct Channel'!$B$10</f>
        <v/>
      </c>
      <c r="C8" s="35">
        <f>'Direct Channel'!$E$10</f>
        <v/>
      </c>
      <c r="D8" s="48">
        <f>'Direct Channel'!$J$10</f>
        <v/>
      </c>
      <c r="E8" s="49">
        <f>IFERROR(D8/C8,0)</f>
        <v/>
      </c>
      <c r="F8" s="12" t="n">
        <v>36000</v>
      </c>
      <c r="G8" s="12" t="n">
        <v>21600</v>
      </c>
      <c r="H8" s="50" t="n">
        <v>0.6</v>
      </c>
      <c r="I8" s="15" t="inlineStr">
        <is>
          <t>First full year, direct channels only.</t>
        </is>
      </c>
    </row>
    <row r="9">
      <c r="A9" s="6" t="inlineStr">
        <is>
          <t>Year 2 — All Direct (40,000 units)</t>
        </is>
      </c>
      <c r="B9" s="28">
        <f>'Direct Channel'!$B$7</f>
        <v/>
      </c>
      <c r="C9" s="29">
        <f>'Direct Channel'!$E$7</f>
        <v/>
      </c>
      <c r="D9" s="46">
        <f>'Direct Channel'!$J$7</f>
        <v/>
      </c>
      <c r="E9" s="47">
        <f>IFERROR(D9/C9,0)</f>
        <v/>
      </c>
      <c r="F9" s="7" t="n">
        <v>1460000</v>
      </c>
      <c r="G9" s="7" t="n">
        <v>990000</v>
      </c>
      <c r="H9" s="26" t="n">
        <v>0.68</v>
      </c>
      <c r="I9" s="10" t="inlineStr">
        <is>
          <t>20,000 Boot + 20,000 Neck, 100% direct-to-consumer.</t>
        </is>
      </c>
    </row>
    <row r="10">
      <c r="A10" s="11" t="inlineStr">
        <is>
          <t>Year 2 — All Partners (40,000 units)</t>
        </is>
      </c>
      <c r="B10" s="34">
        <f>'Partner Channels'!$B$7</f>
        <v/>
      </c>
      <c r="C10" s="35">
        <f>'Partner Channels'!$E$7</f>
        <v/>
      </c>
      <c r="D10" s="48">
        <f>'Partner Channels'!$J$7</f>
        <v/>
      </c>
      <c r="E10" s="49">
        <f>IFERROR(D10/C10,0)</f>
        <v/>
      </c>
      <c r="F10" s="12" t="n">
        <v>380000</v>
      </c>
      <c r="G10" s="12" t="n">
        <v>50000</v>
      </c>
      <c r="H10" s="50" t="n">
        <v>0.13</v>
      </c>
      <c r="I10" s="15" t="inlineStr">
        <is>
          <t>Same volume, 100% wholesale through retail partners.</t>
        </is>
      </c>
    </row>
    <row r="11">
      <c r="A11" s="51" t="inlineStr">
        <is>
          <t>Year 2 — Mixed 50/50 (recommended)</t>
        </is>
      </c>
      <c r="B11" s="28">
        <f>'Direct Channel'!$B$7</f>
        <v/>
      </c>
      <c r="C11" s="29">
        <f>'Direct Channel'!$E$7*Assumptions!$B$30+'Partner Channels'!$E$7*(1-Assumptions!$B$30)</f>
        <v/>
      </c>
      <c r="D11" s="46">
        <f>'Direct Channel'!$J$7*Assumptions!$B$30+'Partner Channels'!$J$7*(1-Assumptions!$B$30)</f>
        <v/>
      </c>
      <c r="E11" s="47">
        <f>IFERROR(D11/C11,0)</f>
        <v/>
      </c>
      <c r="F11" s="7" t="n">
        <v>920000</v>
      </c>
      <c r="G11" s="7" t="n">
        <v>520000</v>
      </c>
      <c r="H11" s="26" t="n">
        <v>0.57</v>
      </c>
      <c r="I11" s="10" t="inlineStr">
        <is>
          <t>Same 40,000 units, split by the direct-channel share set in Assumptions (default 50%).</t>
        </is>
      </c>
    </row>
    <row r="13" ht="34" customHeight="1">
      <c r="A13" s="52" t="inlineStr">
        <is>
          <t>The July 2026 handover gives aggregate outcomes only, not the underlying per-channel cost breakdown — so the model columns (C–E) will not tie exactly to the handover columns (F–H) until the Assumptions tab is updated with real factory and distribution quotes. Treat columns F–H as the reality check, and tune Assumptions until C–E converge on them.</t>
        </is>
      </c>
    </row>
  </sheetData>
  <mergeCells count="4">
    <mergeCell ref="A4:I4"/>
    <mergeCell ref="A13:I13"/>
    <mergeCell ref="A2:I2"/>
    <mergeCell ref="F5:H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G44"/>
  <sheetViews>
    <sheetView showGridLines="0" workbookViewId="0">
      <selection activeCell="A1" sqref="A1"/>
    </sheetView>
  </sheetViews>
  <sheetFormatPr baseColWidth="8" defaultRowHeight="15"/>
  <cols>
    <col width="4" customWidth="1" min="1" max="1"/>
    <col width="26" customWidth="1" min="2" max="2"/>
    <col width="20" customWidth="1" min="3" max="3"/>
    <col width="20" customWidth="1" min="4" max="4"/>
    <col width="20" customWidth="1" min="5" max="5"/>
    <col width="20" customWidth="1" min="6" max="6"/>
    <col width="4" customWidth="1" min="7" max="7"/>
  </cols>
  <sheetData>
    <row r="2" ht="28" customHeight="1">
      <c r="B2" s="53" t="inlineStr">
        <is>
          <t>HydroWarm — Financial Model Dashboard</t>
        </is>
      </c>
    </row>
    <row r="3">
      <c r="B3" s="54" t="inlineStr">
        <is>
          <t>Warm the person. Not the room.  ·  Model reference: July 2026 handover, reconstructed with editable assumptions.</t>
        </is>
      </c>
    </row>
    <row r="5" ht="18" customHeight="1">
      <c r="B5" s="55" t="inlineStr">
        <is>
          <t>RECOMMENDED — YEAR 2 REVENUE</t>
        </is>
      </c>
      <c r="C5" s="56" t="n"/>
      <c r="D5" s="57" t="inlineStr">
        <is>
          <t>RECOMMENDED — YEAR 2 NET PROFIT</t>
        </is>
      </c>
      <c r="E5" s="56" t="n"/>
      <c r="F5" s="58" t="inlineStr">
        <is>
          <t>RECOMMENDED — NET MARGIN</t>
        </is>
      </c>
      <c r="G5" s="56" t="n"/>
    </row>
    <row r="6">
      <c r="B6" s="59">
        <f>'Scenario Comparison'!$C$11</f>
        <v/>
      </c>
      <c r="C6" s="56" t="n"/>
      <c r="D6" s="59">
        <f>'Scenario Comparison'!$D$11</f>
        <v/>
      </c>
      <c r="E6" s="56" t="n"/>
      <c r="F6" s="60">
        <f>'Scenario Comparison'!$E$11</f>
        <v/>
      </c>
      <c r="G6" s="56" t="n"/>
    </row>
    <row r="7">
      <c r="B7" s="56" t="n"/>
      <c r="C7" s="56" t="n"/>
      <c r="D7" s="56" t="n"/>
      <c r="E7" s="56" t="n"/>
      <c r="F7" s="56" t="n"/>
      <c r="G7" s="56" t="n"/>
    </row>
    <row r="10" ht="22" customHeight="1">
      <c r="A10" s="4" t="inlineStr">
        <is>
          <t>Year 2 · 40,000 units — by channel strategy</t>
        </is>
      </c>
    </row>
    <row r="11" ht="20" customHeight="1">
      <c r="B11" s="5" t="inlineStr">
        <is>
          <t>Scenario</t>
        </is>
      </c>
      <c r="C11" s="5" t="inlineStr">
        <is>
          <t>Revenue (€)</t>
        </is>
      </c>
      <c r="D11" s="5" t="inlineStr">
        <is>
          <t>Net profit (€)</t>
        </is>
      </c>
      <c r="E11" s="5" t="inlineStr">
        <is>
          <t>Net margin (%)</t>
        </is>
      </c>
    </row>
    <row r="12">
      <c r="B12" s="61">
        <f>'Scenario Comparison'!$A$9</f>
        <v/>
      </c>
      <c r="C12" s="29">
        <f>'Scenario Comparison'!$C$9</f>
        <v/>
      </c>
      <c r="D12" s="29">
        <f>'Scenario Comparison'!$D$9</f>
        <v/>
      </c>
      <c r="E12" s="62">
        <f>'Scenario Comparison'!$E$9</f>
        <v/>
      </c>
    </row>
    <row r="13">
      <c r="B13" s="63">
        <f>'Scenario Comparison'!$A$10</f>
        <v/>
      </c>
      <c r="C13" s="35">
        <f>'Scenario Comparison'!$C$10</f>
        <v/>
      </c>
      <c r="D13" s="35">
        <f>'Scenario Comparison'!$D$10</f>
        <v/>
      </c>
      <c r="E13" s="64">
        <f>'Scenario Comparison'!$E$10</f>
        <v/>
      </c>
    </row>
    <row r="14">
      <c r="B14" s="61">
        <f>'Scenario Comparison'!$A$11</f>
        <v/>
      </c>
      <c r="C14" s="29">
        <f>'Scenario Comparison'!$C$11</f>
        <v/>
      </c>
      <c r="D14" s="29">
        <f>'Scenario Comparison'!$D$11</f>
        <v/>
      </c>
      <c r="E14" s="62">
        <f>'Scenario Comparison'!$E$11</f>
        <v/>
      </c>
    </row>
    <row r="36" ht="22" customHeight="1">
      <c r="A36" s="4" t="inlineStr">
        <is>
          <t>Early milestones (Comfort, direct only)</t>
        </is>
      </c>
    </row>
    <row r="37">
      <c r="B37" s="5" t="inlineStr">
        <is>
          <t>Milestone</t>
        </is>
      </c>
      <c r="C37" s="5" t="inlineStr">
        <is>
          <t>Units</t>
        </is>
      </c>
      <c r="D37" s="5" t="inlineStr">
        <is>
          <t>Revenue (€)</t>
        </is>
      </c>
      <c r="E37" s="5" t="inlineStr">
        <is>
          <t>Net profit (€)</t>
        </is>
      </c>
    </row>
    <row r="38">
      <c r="B38" s="61">
        <f>'Scenario Comparison'!$A$7</f>
        <v/>
      </c>
      <c r="C38" s="28">
        <f>'Scenario Comparison'!$B$7</f>
        <v/>
      </c>
      <c r="D38" s="29">
        <f>'Scenario Comparison'!$C$7</f>
        <v/>
      </c>
      <c r="E38" s="29">
        <f>'Scenario Comparison'!$D$7</f>
        <v/>
      </c>
    </row>
    <row r="39">
      <c r="B39" s="63">
        <f>'Scenario Comparison'!$A$8</f>
        <v/>
      </c>
      <c r="C39" s="34">
        <f>'Scenario Comparison'!$B$8</f>
        <v/>
      </c>
      <c r="D39" s="35">
        <f>'Scenario Comparison'!$C$8</f>
        <v/>
      </c>
      <c r="E39" s="35">
        <f>'Scenario Comparison'!$D$8</f>
        <v/>
      </c>
    </row>
    <row r="42">
      <c r="B42" s="65" t="inlineStr">
        <is>
          <t>Recommended strategy: direct channels for margin, retail partners for volume and brand exposure. The 50/50 mix trades some revenue for a margin partners alone can't deliver — tune the direct-channel share in Assumptions (Section 3) to explore other splits.</t>
        </is>
      </c>
    </row>
    <row r="43"/>
    <row r="44"/>
  </sheetData>
  <mergeCells count="11">
    <mergeCell ref="A10:F10"/>
    <mergeCell ref="B2:F2"/>
    <mergeCell ref="A36:F36"/>
    <mergeCell ref="B5:C5"/>
    <mergeCell ref="F5:G5"/>
    <mergeCell ref="D5:E5"/>
    <mergeCell ref="B3:F3"/>
    <mergeCell ref="B42:F44"/>
    <mergeCell ref="D6:E7"/>
    <mergeCell ref="B6:C7"/>
    <mergeCell ref="F6:G7"/>
  </mergeCells>
  <conditionalFormatting sqref="E12:E14">
    <cfRule type="dataBar" priority="1">
      <dataBar showValue="1">
        <cfvo type="num" val="0"/>
        <cfvo type="num" val="1"/>
        <color rgb="001A6B8A"/>
      </dataBar>
    </cfRule>
  </conditionalFormatting>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2026-07-25T09:07:23Z</dcterms:created>
  <dcterms:modified xmlns:dcterms="http://purl.org/dc/terms/" xmlns:xsi="http://www.w3.org/2001/XMLSchema-instance" xsi:type="dcterms:W3CDTF">2026-07-25T09:07:24Z</dcterms:modified>
</cp:coreProperties>
</file>